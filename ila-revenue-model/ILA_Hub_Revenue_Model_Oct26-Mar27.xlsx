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ssumptions" sheetId="2" state="visible" r:id="rId2"/>
    <sheet name="Model" sheetId="3" state="visible" r:id="rId3"/>
    <sheet name="Actuals" sheetId="4" state="visible" r:id="rId4"/>
    <sheet name="Sourc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£#,##0;(£#,##0);-"/>
    <numFmt numFmtId="165" formatCode="0.0%;(0.0%);-"/>
    <numFmt numFmtId="166" formatCode="£0.00"/>
    <numFmt numFmtId="167" formatCode="#,##0;(#,##0);-"/>
    <numFmt numFmtId="168" formatCode="0.0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9"/>
    </font>
    <font>
      <name val="Arial"/>
      <b val="1"/>
      <sz val="11"/>
    </font>
    <font>
      <name val="Arial"/>
    </font>
    <font>
      <name val="Arial"/>
      <color rgb="000000FF"/>
    </font>
    <font>
      <name val="Arial"/>
      <color rgb="00666666"/>
      <sz val="9"/>
    </font>
    <font>
      <name val="Arial"/>
      <b val="1"/>
    </font>
    <font>
      <name val="Arial"/>
      <color rgb="0000800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EEEEEE"/>
      </patternFill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top style="thin">
        <color rgb="00999999"/>
      </top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7" fillId="2" borderId="0" pivotButton="0" quotePrefix="0" xfId="0"/>
    <xf numFmtId="0" fontId="4" fillId="0" borderId="0" pivotButton="0" quotePrefix="0" xfId="0"/>
    <xf numFmtId="164" fontId="8" fillId="0" borderId="0" pivotButton="0" quotePrefix="0" xfId="0"/>
    <xf numFmtId="167" fontId="8" fillId="0" borderId="0" pivotButton="0" quotePrefix="0" xfId="0"/>
    <xf numFmtId="168" fontId="8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164" fontId="5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166" fontId="5" fillId="0" borderId="0" pivotButton="0" quotePrefix="0" xfId="0"/>
    <xf numFmtId="165" fontId="4" fillId="0" borderId="0" pivotButton="0" quotePrefix="0" xfId="0"/>
    <xf numFmtId="167" fontId="5" fillId="0" borderId="0" pivotButton="0" quotePrefix="0" xfId="0"/>
    <xf numFmtId="0" fontId="7" fillId="0" borderId="0" pivotButton="0" quotePrefix="0" xfId="0"/>
    <xf numFmtId="168" fontId="5" fillId="0" borderId="0" pivotButton="0" quotePrefix="0" xfId="0"/>
    <xf numFmtId="168" fontId="4" fillId="0" borderId="0" pivotButton="0" quotePrefix="0" xfId="0"/>
    <xf numFmtId="167" fontId="5" fillId="3" borderId="0" pivotButton="0" quotePrefix="0" xfId="0"/>
    <xf numFmtId="165" fontId="5" fillId="3" borderId="0" pivotButton="0" quotePrefix="0" xfId="0"/>
    <xf numFmtId="0" fontId="3" fillId="2" borderId="0" pivotButton="0" quotePrefix="0" xfId="0"/>
    <xf numFmtId="167" fontId="4" fillId="0" borderId="0" pivotButton="0" quotePrefix="0" xfId="0"/>
    <xf numFmtId="165" fontId="8" fillId="0" borderId="0" pivotButton="0" quotePrefix="0" xfId="0"/>
    <xf numFmtId="164" fontId="4" fillId="0" borderId="0" pivotButton="0" quotePrefix="0" xfId="0"/>
    <xf numFmtId="0" fontId="7" fillId="0" borderId="1" pivotButton="0" quotePrefix="0" xfId="0"/>
    <xf numFmtId="164" fontId="7" fillId="0" borderId="1" pivotButton="0" quotePrefix="0" xfId="0"/>
    <xf numFmtId="0" fontId="5" fillId="0" borderId="0" pivotButton="0" quotePrefix="0" xfId="0"/>
    <xf numFmtId="0" fontId="4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omments/comment1.xml><?xml version="1.0" encoding="utf-8"?>
<comments xmlns="http://schemas.openxmlformats.org/spreadsheetml/2006/main">
  <authors>
    <author>Model</author>
  </authors>
  <commentList>
    <comment ref="B4" authorId="0" shapeId="0">
      <text>
        <t>Live Stripe price. Granola catch-ups Sep 2026: £150 standard 'well received'.</t>
      </text>
    </comment>
    <comment ref="B5" authorId="0" shapeId="0">
      <text>
        <t>Daniel email 23 Sep 2026 'New priority price ID' — £190 (down from £249/£250).</t>
      </text>
    </comment>
    <comment ref="B6" authorId="0" shapeId="0">
      <text>
        <t>£25 opt-in, to be charged upfront (Sep catch-ups).</t>
      </text>
    </comment>
    <comment ref="B7" authorId="0" shapeId="0">
      <text>
        <t>PRD §2: Stripe ~1.5–2.5%. UK card rate 1.5% + 20p used.</t>
      </text>
    </comment>
    <comment ref="B8" authorId="0" shapeId="0">
      <text>
        <t>UK Stripe fixed fee.</t>
      </text>
    </comment>
    <comment ref="B9" authorId="0" shapeId="0">
      <text>
        <t>Dropbox Sign envelope, estimate.</t>
      </text>
    </comment>
    <comment ref="B10" authorId="0" shapeId="0">
      <text>
        <t>PRD: Claude API ~£0.05/case; rounded up.</t>
      </text>
    </comment>
    <comment ref="B11" authorId="0" shapeId="0">
      <text>
        <t>Sep catch-ups: postage ~£10; Royal Mail business account.</t>
      </text>
    </comment>
    <comment ref="B12" authorId="0" shapeId="0">
      <text>
        <t>PRD §2: 60% Daniel / 40% Rona on net after direct platform costs; marketing off the top.</t>
      </text>
    </comment>
    <comment ref="B14" authorId="0" shapeId="0">
      <text>
        <t>Calls 10–15 min (Sep catch-ups); dashboard target 30–45 min all-in. 30 used.</t>
      </text>
    </comment>
    <comment ref="B15" authorId="0" shapeId="0">
      <text>
        <t>PRD §2. Renegotiate split at threshold.</t>
      </text>
    </comment>
    <comment ref="B16" authorId="0" shapeId="0">
      <text>
        <t>Sep catch-ups / Business dashboard.</t>
      </text>
    </comment>
    <comment ref="B17" authorId="0" shapeId="0">
      <text>
        <t>Sep catch-ups / Business dashboard.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3" customWidth="1" min="8" max="8"/>
    <col width="50" customWidth="1" min="9" max="9"/>
  </cols>
  <sheetData>
    <row r="1">
      <c r="A1" s="1" t="inlineStr">
        <is>
          <t>ILA Hub — 6-month revenue model, Daniel as sole provider</t>
        </is>
      </c>
    </row>
    <row r="2">
      <c r="A2" s="2" t="inlineStr">
        <is>
          <t>Oct 2026 – Mar 2027 · 18–22 slots/week · prices £150 Essential / £190 Priority · built 26 Sep 2026 from live case data</t>
        </is>
      </c>
    </row>
    <row r="4">
      <c r="A4" s="3" t="inlineStr">
        <is>
          <t>Net delivered revenue by month (£)</t>
        </is>
      </c>
    </row>
    <row r="5">
      <c r="A5" s="4" t="inlineStr">
        <is>
          <t>Scenario</t>
        </is>
      </c>
      <c r="B5" s="4" t="inlineStr">
        <is>
          <t>Oct-26</t>
        </is>
      </c>
      <c r="C5" s="4" t="inlineStr">
        <is>
          <t>Nov-26</t>
        </is>
      </c>
      <c r="D5" s="4" t="inlineStr">
        <is>
          <t>Dec-26</t>
        </is>
      </c>
      <c r="E5" s="4" t="inlineStr">
        <is>
          <t>Jan-27</t>
        </is>
      </c>
      <c r="F5" s="4" t="inlineStr">
        <is>
          <t>Feb-27</t>
        </is>
      </c>
      <c r="G5" s="4" t="inlineStr">
        <is>
          <t>Mar-27</t>
        </is>
      </c>
      <c r="H5" s="4" t="inlineStr">
        <is>
          <t>6-mo total</t>
        </is>
      </c>
    </row>
    <row r="6">
      <c r="A6" s="5" t="inlineStr">
        <is>
          <t>Low — 18 slots/wk</t>
        </is>
      </c>
      <c r="B6" s="6">
        <f>Model!B17</f>
        <v/>
      </c>
      <c r="C6" s="6">
        <f>Model!C17</f>
        <v/>
      </c>
      <c r="D6" s="6">
        <f>Model!D17</f>
        <v/>
      </c>
      <c r="E6" s="6">
        <f>Model!E17</f>
        <v/>
      </c>
      <c r="F6" s="6">
        <f>Model!F17</f>
        <v/>
      </c>
      <c r="G6" s="6">
        <f>Model!G17</f>
        <v/>
      </c>
      <c r="H6" s="6">
        <f>Model!H17</f>
        <v/>
      </c>
    </row>
    <row r="7">
      <c r="A7" s="5" t="inlineStr">
        <is>
          <t>Base — 20 slots/wk</t>
        </is>
      </c>
      <c r="B7" s="6">
        <f>Model!B47</f>
        <v/>
      </c>
      <c r="C7" s="6">
        <f>Model!C47</f>
        <v/>
      </c>
      <c r="D7" s="6">
        <f>Model!D47</f>
        <v/>
      </c>
      <c r="E7" s="6">
        <f>Model!E47</f>
        <v/>
      </c>
      <c r="F7" s="6">
        <f>Model!F47</f>
        <v/>
      </c>
      <c r="G7" s="6">
        <f>Model!G47</f>
        <v/>
      </c>
      <c r="H7" s="6">
        <f>Model!H47</f>
        <v/>
      </c>
    </row>
    <row r="8">
      <c r="A8" s="5" t="inlineStr">
        <is>
          <t>High — 22 slots/wk</t>
        </is>
      </c>
      <c r="B8" s="6">
        <f>Model!B77</f>
        <v/>
      </c>
      <c r="C8" s="6">
        <f>Model!C77</f>
        <v/>
      </c>
      <c r="D8" s="6">
        <f>Model!D77</f>
        <v/>
      </c>
      <c r="E8" s="6">
        <f>Model!E77</f>
        <v/>
      </c>
      <c r="F8" s="6">
        <f>Model!F77</f>
        <v/>
      </c>
      <c r="G8" s="6">
        <f>Model!G77</f>
        <v/>
      </c>
      <c r="H8" s="6">
        <f>Model!H77</f>
        <v/>
      </c>
    </row>
    <row r="10">
      <c r="A10" s="3" t="inlineStr">
        <is>
          <t>Key outputs</t>
        </is>
      </c>
    </row>
    <row r="11">
      <c r="A11" s="4" t="inlineStr">
        <is>
          <t>Metric</t>
        </is>
      </c>
      <c r="B11" s="4" t="inlineStr">
        <is>
          <t>Low</t>
        </is>
      </c>
      <c r="C11" s="4" t="inlineStr">
        <is>
          <t>Base</t>
        </is>
      </c>
      <c r="D11" s="4" t="inlineStr">
        <is>
          <t>High</t>
        </is>
      </c>
    </row>
    <row r="12">
      <c r="A12" s="5" t="inlineStr">
        <is>
          <t>Paid cases (6 months)</t>
        </is>
      </c>
      <c r="B12" s="7">
        <f>Model!H9</f>
        <v/>
      </c>
      <c r="C12" s="7">
        <f>Model!H39</f>
        <v/>
      </c>
      <c r="D12" s="7">
        <f>Model!H69</f>
        <v/>
      </c>
    </row>
    <row r="13">
      <c r="A13" s="5" t="inlineStr">
        <is>
          <t>Delivered cases (6 months)</t>
        </is>
      </c>
      <c r="B13" s="7">
        <f>Model!H29</f>
        <v/>
      </c>
      <c r="C13" s="7">
        <f>Model!H59</f>
        <v/>
      </c>
      <c r="D13" s="7">
        <f>Model!H89</f>
        <v/>
      </c>
    </row>
    <row r="14">
      <c r="A14" s="5" t="inlineStr">
        <is>
          <t>Average monthly net delivered revenue (£)</t>
        </is>
      </c>
      <c r="B14" s="6">
        <f>AVERAGE(Model!B17:G17)</f>
        <v/>
      </c>
      <c r="C14" s="6">
        <f>AVERAGE(Model!B47:G47)</f>
        <v/>
      </c>
      <c r="D14" s="6">
        <f>AVERAGE(Model!B77:G77)</f>
        <v/>
      </c>
    </row>
    <row r="15">
      <c r="A15" s="5" t="inlineStr">
        <is>
          <t>March 2027 run-rate (£/month)</t>
        </is>
      </c>
      <c r="B15" s="6">
        <f>Model!G17</f>
        <v/>
      </c>
      <c r="C15" s="6">
        <f>Model!G47</f>
        <v/>
      </c>
      <c r="D15" s="6">
        <f>Model!G77</f>
        <v/>
      </c>
    </row>
    <row r="16">
      <c r="A16" s="5" t="inlineStr">
        <is>
          <t>Refunds (6 months, £)</t>
        </is>
      </c>
      <c r="B16" s="6">
        <f>Model!H16</f>
        <v/>
      </c>
      <c r="C16" s="6">
        <f>Model!H46</f>
        <v/>
      </c>
      <c r="D16" s="6">
        <f>Model!H76</f>
        <v/>
      </c>
    </row>
    <row r="17">
      <c r="A17" s="5" t="inlineStr">
        <is>
          <t>Direct platform costs (6 months, £)</t>
        </is>
      </c>
      <c r="B17" s="6">
        <f>Model!H22</f>
        <v/>
      </c>
      <c r="C17" s="6">
        <f>Model!H52</f>
        <v/>
      </c>
      <c r="D17" s="6">
        <f>Model!H82</f>
        <v/>
      </c>
    </row>
    <row r="18">
      <c r="A18" s="5" t="inlineStr">
        <is>
          <t>Marketing (6 months, £)</t>
        </is>
      </c>
      <c r="B18" s="6">
        <f>Model!H24</f>
        <v/>
      </c>
      <c r="C18" s="6">
        <f>Model!H54</f>
        <v/>
      </c>
      <c r="D18" s="6">
        <f>Model!H84</f>
        <v/>
      </c>
    </row>
    <row r="19">
      <c r="A19" s="5" t="inlineStr">
        <is>
          <t>Distributable net (6 months, £)</t>
        </is>
      </c>
      <c r="B19" s="6">
        <f>Model!H25</f>
        <v/>
      </c>
      <c r="C19" s="6">
        <f>Model!H55</f>
        <v/>
      </c>
      <c r="D19" s="6">
        <f>Model!H85</f>
        <v/>
      </c>
    </row>
    <row r="20">
      <c r="A20" s="5" t="inlineStr">
        <is>
          <t>Daniel 60% (6 months, £)</t>
        </is>
      </c>
      <c r="B20" s="6">
        <f>Model!H26</f>
        <v/>
      </c>
      <c r="C20" s="6">
        <f>Model!H56</f>
        <v/>
      </c>
      <c r="D20" s="6">
        <f>Model!H86</f>
        <v/>
      </c>
    </row>
    <row r="21">
      <c r="A21" s="5" t="inlineStr">
        <is>
          <t>Rona 40% (6 months, £)</t>
        </is>
      </c>
      <c r="B21" s="6">
        <f>Model!H27</f>
        <v/>
      </c>
      <c r="C21" s="6">
        <f>Model!H57</f>
        <v/>
      </c>
      <c r="D21" s="6">
        <f>Model!H87</f>
        <v/>
      </c>
    </row>
    <row r="22">
      <c r="A22" s="5" t="inlineStr">
        <is>
          <t>Daniel hours / week (average)</t>
        </is>
      </c>
      <c r="B22" s="8">
        <f>Model!H30</f>
        <v/>
      </c>
      <c r="C22" s="8">
        <f>Model!H60</f>
        <v/>
      </c>
      <c r="D22" s="8">
        <f>Model!H90</f>
        <v/>
      </c>
    </row>
    <row r="23">
      <c r="A23" s="5" t="inlineStr">
        <is>
          <t>Daniel hours / week (March)</t>
        </is>
      </c>
      <c r="B23" s="8">
        <f>Model!G30</f>
        <v/>
      </c>
      <c r="C23" s="8">
        <f>Model!G60</f>
        <v/>
      </c>
      <c r="D23" s="8">
        <f>Model!G90</f>
        <v/>
      </c>
    </row>
    <row r="24">
      <c r="A24" s="5" t="inlineStr">
        <is>
          <t>Annualised run-rate vs £90k VAT threshold</t>
        </is>
      </c>
      <c r="B24" s="6">
        <f>Model!G17*12</f>
        <v/>
      </c>
      <c r="C24" s="6">
        <f>Model!G47*12</f>
        <v/>
      </c>
      <c r="D24" s="6">
        <f>Model!G77*12</f>
        <v/>
      </c>
    </row>
    <row r="25">
      <c r="A25" s="5" t="inlineStr">
        <is>
          <t>First month at £6k milestone</t>
        </is>
      </c>
      <c r="B25" s="9">
        <f>IFERROR(INDEX(Model!$B$4:$G$4,MATCH("Yes",Model!B31:G31,0)),"Not in window")</f>
        <v/>
      </c>
      <c r="C25" s="9">
        <f>IFERROR(INDEX(Model!$B$34:$G$34,MATCH("Yes",Model!B61:G61,0)),"Not in window")</f>
        <v/>
      </c>
      <c r="D25" s="9">
        <f>IFERROR(INDEX(Model!$B$64:$G$64,MATCH("Yes",Model!B91:G91,0)),"Not in window")</f>
        <v/>
      </c>
    </row>
    <row r="28">
      <c r="A28" s="3" t="inlineStr">
        <is>
          <t>How to read this</t>
        </is>
      </c>
    </row>
    <row r="29">
      <c r="A29" s="10" t="inlineStr">
        <is>
          <t>Capacity is not the constraint, fill is. 20 slots x 4.3 weeks x £150 is ~£12.9k/month gross at 100% fill; actual fill since mid-August is 30-45%. Even High keeps Daniel under 10 hours a week of ILA work.</t>
        </is>
      </c>
    </row>
    <row r="30">
      <c r="A30" s="10" t="inlineStr">
        <is>
          <t>Low (18 slots, fill 40-60%, refunds 15%) tracks today's run-rate: ~£5k/month, clears £6k only in March. Base (20 slots, fill 50-80%, refunds 10%) clears £6k from October, dips in December, reaches £10k in March. High (22 slots, fill 60-90%) clears £10k from January.</t>
        </is>
      </c>
    </row>
    <row r="31">
      <c r="A31" s="10" t="inlineStr">
        <is>
          <t>Refunds are the biggest controllable leak: 13% by count since August, 20.7% lifetime by value. Each 5 points of refund rate is worth ~£400/month at Base volumes. The lender library and pack-check intake are the fixes.</t>
        </is>
      </c>
    </row>
    <row r="32">
      <c r="A32" s="10" t="inlineStr">
        <is>
          <t>VAT risk: Base annualises to ~£121k by March, above the £90k rolling-12-month threshold. Registration is likely due in Q1 2027 on Base or High. VAT on £150 either cuts net 17% or moves the price to £180; decide before January.</t>
        </is>
      </c>
    </row>
    <row r="33">
      <c r="A33" s="10" t="inlineStr">
        <is>
          <t>December is deliberately thin (3.0 working weeks). If Daniel works through Christmas, set Dec weeks to 4.4 and Base adds ~£2.6k.</t>
        </is>
      </c>
    </row>
    <row r="34">
      <c r="A34" s="10" t="inlineStr">
        <is>
          <t>Change the yellow cells on Assumptions to re-run. Slots/week, fill ramp and refund rate drive more than 90% of the outcome. Formulas recalculate when the file opens in Excel or Google Sheets.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4"/>
  <sheetViews>
    <sheetView workbookViewId="0">
      <selection activeCell="A1" sqref="A1"/>
    </sheetView>
  </sheetViews>
  <sheetFormatPr baseColWidth="8" defaultRowHeight="15"/>
  <cols>
    <col width="3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60" customWidth="1" min="13" max="13"/>
  </cols>
  <sheetData>
    <row r="1">
      <c r="A1" s="1" t="inlineStr">
        <is>
          <t>ILA Hub — Revenue model assumptions (Oct 2026 – Mar 2027)</t>
        </is>
      </c>
    </row>
    <row r="2">
      <c r="A2" s="2" t="inlineStr">
        <is>
          <t>Legend: blue = input you can change · black = formula · green = link to another sheet · yellow = key lever. Single provider: Daniel McAfee.</t>
        </is>
      </c>
    </row>
    <row r="3">
      <c r="A3" s="3" t="inlineStr">
        <is>
          <t>Global inputs</t>
        </is>
      </c>
    </row>
    <row r="4">
      <c r="A4" s="5" t="inlineStr">
        <is>
          <t>Essential price (£)</t>
        </is>
      </c>
      <c r="B4" s="11" t="n">
        <v>150</v>
      </c>
      <c r="M4" s="12" t="inlineStr">
        <is>
          <t>Live Stripe price. Granola catch-ups Sep 2026: £150 standard 'well received'.</t>
        </is>
      </c>
    </row>
    <row r="5">
      <c r="A5" s="5" t="inlineStr">
        <is>
          <t>Priority price (£)</t>
        </is>
      </c>
      <c r="B5" s="11" t="n">
        <v>190</v>
      </c>
      <c r="M5" s="12" t="inlineStr">
        <is>
          <t>Daniel email 23 Sep 2026 'New priority price ID' — £190 (down from £249/£250).</t>
        </is>
      </c>
    </row>
    <row r="6">
      <c r="A6" s="5" t="inlineStr">
        <is>
          <t>Wet-signature / postal add-on (£)</t>
        </is>
      </c>
      <c r="B6" s="11" t="n">
        <v>25</v>
      </c>
      <c r="M6" s="12" t="inlineStr">
        <is>
          <t>£25 opt-in, to be charged upfront (Sep catch-ups).</t>
        </is>
      </c>
    </row>
    <row r="7">
      <c r="A7" s="5" t="inlineStr">
        <is>
          <t>Stripe fee — % of takings</t>
        </is>
      </c>
      <c r="B7" s="13" t="n">
        <v>0.015</v>
      </c>
      <c r="M7" s="12" t="inlineStr">
        <is>
          <t>PRD §2: Stripe ~1.5–2.5%. UK card rate 1.5% + 20p used.</t>
        </is>
      </c>
    </row>
    <row r="8">
      <c r="A8" s="5" t="inlineStr">
        <is>
          <t>Stripe fee — fixed per payment (£)</t>
        </is>
      </c>
      <c r="B8" s="14" t="n">
        <v>0.2</v>
      </c>
      <c r="M8" s="12" t="inlineStr">
        <is>
          <t>UK Stripe fixed fee.</t>
        </is>
      </c>
    </row>
    <row r="9">
      <c r="A9" s="5" t="inlineStr">
        <is>
          <t>E-signature cost per case (£)</t>
        </is>
      </c>
      <c r="B9" s="14" t="n">
        <v>1.5</v>
      </c>
      <c r="M9" s="12" t="inlineStr">
        <is>
          <t>Dropbox Sign envelope, estimate.</t>
        </is>
      </c>
    </row>
    <row r="10">
      <c r="A10" s="5" t="inlineStr">
        <is>
          <t>AI prep cost per case (£)</t>
        </is>
      </c>
      <c r="B10" s="14" t="n">
        <v>0.1</v>
      </c>
      <c r="M10" s="12" t="inlineStr">
        <is>
          <t>PRD: Claude API ~£0.05/case; rounded up.</t>
        </is>
      </c>
    </row>
    <row r="11">
      <c r="A11" s="5" t="inlineStr">
        <is>
          <t>Special-delivery postage per wet-sign case (£)</t>
        </is>
      </c>
      <c r="B11" s="11" t="n">
        <v>10</v>
      </c>
      <c r="M11" s="12" t="inlineStr">
        <is>
          <t>Sep catch-ups: postage ~£10; Royal Mail business account.</t>
        </is>
      </c>
    </row>
    <row r="12">
      <c r="A12" s="5" t="inlineStr">
        <is>
          <t>Daniel share of net</t>
        </is>
      </c>
      <c r="B12" s="13" t="n">
        <v>0.6</v>
      </c>
      <c r="M12" s="12" t="inlineStr">
        <is>
          <t>PRD §2: 60% Daniel / 40% Rona on net after direct platform costs; marketing off the top.</t>
        </is>
      </c>
    </row>
    <row r="13">
      <c r="A13" s="5" t="inlineStr">
        <is>
          <t>Rona share of net</t>
        </is>
      </c>
      <c r="B13" s="15">
        <f>1-B12</f>
        <v/>
      </c>
    </row>
    <row r="14">
      <c r="A14" s="5" t="inlineStr">
        <is>
          <t>Daniel minutes per case (call + review + certificate)</t>
        </is>
      </c>
      <c r="B14" s="16" t="n">
        <v>30</v>
      </c>
      <c r="M14" s="12" t="inlineStr">
        <is>
          <t>Calls 10–15 min (Sep catch-ups); dashboard target 30–45 min all-in. 30 used.</t>
        </is>
      </c>
    </row>
    <row r="15">
      <c r="A15" s="5" t="inlineStr">
        <is>
          <t>VAT registration threshold (£, rolling 12 months)</t>
        </is>
      </c>
      <c r="B15" s="11" t="n">
        <v>90000</v>
      </c>
      <c r="M15" s="12" t="inlineStr">
        <is>
          <t>PRD §2. Renegotiate split at threshold.</t>
        </is>
      </c>
    </row>
    <row r="16">
      <c r="A16" s="5" t="inlineStr">
        <is>
          <t>Milestone 1 — monthly net delivered revenue (£)</t>
        </is>
      </c>
      <c r="B16" s="11" t="n">
        <v>6000</v>
      </c>
      <c r="M16" s="12" t="inlineStr">
        <is>
          <t>Sep catch-ups / Business dashboard.</t>
        </is>
      </c>
    </row>
    <row r="17">
      <c r="A17" s="5" t="inlineStr">
        <is>
          <t>Milestone 2 — monthly net delivered revenue (£)</t>
        </is>
      </c>
      <c r="B17" s="11" t="n">
        <v>10000</v>
      </c>
      <c r="M17" s="12" t="inlineStr">
        <is>
          <t>Sep catch-ups / Business dashboard.</t>
        </is>
      </c>
    </row>
    <row r="19">
      <c r="A19" s="3" t="inlineStr">
        <is>
          <t>Calendar</t>
        </is>
      </c>
    </row>
    <row r="20">
      <c r="A20" s="5" t="inlineStr">
        <is>
          <t>Month</t>
        </is>
      </c>
      <c r="B20" s="17" t="inlineStr">
        <is>
          <t>Oct-26</t>
        </is>
      </c>
      <c r="C20" s="17" t="inlineStr">
        <is>
          <t>Nov-26</t>
        </is>
      </c>
      <c r="D20" s="17" t="inlineStr">
        <is>
          <t>Dec-26</t>
        </is>
      </c>
      <c r="E20" s="17" t="inlineStr">
        <is>
          <t>Jan-27</t>
        </is>
      </c>
      <c r="F20" s="17" t="inlineStr">
        <is>
          <t>Feb-27</t>
        </is>
      </c>
      <c r="G20" s="17" t="inlineStr">
        <is>
          <t>Mar-27</t>
        </is>
      </c>
      <c r="H20" s="17" t="inlineStr">
        <is>
          <t>Total</t>
        </is>
      </c>
    </row>
    <row r="21">
      <c r="A21" s="5" t="inlineStr">
        <is>
          <t>Working weeks in month (Daniel available)</t>
        </is>
      </c>
      <c r="B21" s="18" t="n">
        <v>4.4</v>
      </c>
      <c r="C21" s="18" t="n">
        <v>4.2</v>
      </c>
      <c r="D21" s="18" t="n">
        <v>3</v>
      </c>
      <c r="E21" s="18" t="n">
        <v>4.2</v>
      </c>
      <c r="F21" s="18" t="n">
        <v>4</v>
      </c>
      <c r="G21" s="18" t="n">
        <v>4.4</v>
      </c>
      <c r="H21" s="19">
        <f>SUM(B21:G21)</f>
        <v/>
      </c>
      <c r="M21" s="12" t="inlineStr">
        <is>
          <t>Weekdays ÷ 5, less bank holidays. Dec assumes ~1.5 weeks off over Christmas. Sat/Sun slots exist today but are folded into the weekly slot count.</t>
        </is>
      </c>
    </row>
    <row r="23">
      <c r="A23" s="3" t="inlineStr">
        <is>
          <t>Scenario levers</t>
        </is>
      </c>
    </row>
    <row r="24">
      <c r="A24" s="4" t="inlineStr">
        <is>
          <t>Scenario</t>
        </is>
      </c>
      <c r="B24" s="4" t="inlineStr">
        <is>
          <t>Slots / week</t>
        </is>
      </c>
      <c r="C24" s="4" t="inlineStr">
        <is>
          <t>Fill Oct</t>
        </is>
      </c>
      <c r="D24" s="4" t="inlineStr">
        <is>
          <t>Fill Nov</t>
        </is>
      </c>
      <c r="E24" s="4" t="inlineStr">
        <is>
          <t>Fill Dec</t>
        </is>
      </c>
      <c r="F24" s="4" t="inlineStr">
        <is>
          <t>Fill Jan</t>
        </is>
      </c>
      <c r="G24" s="4" t="inlineStr">
        <is>
          <t>Fill Feb</t>
        </is>
      </c>
      <c r="H24" s="4" t="inlineStr">
        <is>
          <t>Fill Mar</t>
        </is>
      </c>
      <c r="I24" s="4" t="inlineStr">
        <is>
          <t>Priority mix</t>
        </is>
      </c>
      <c r="J24" s="4" t="inlineStr">
        <is>
          <t>Refund rate</t>
        </is>
      </c>
      <c r="K24" s="4" t="inlineStr">
        <is>
          <t>Wet-sign uptake</t>
        </is>
      </c>
      <c r="L24" s="4" t="inlineStr">
        <is>
          <t>Ads spend / month (£)</t>
        </is>
      </c>
    </row>
    <row r="25">
      <c r="A25" s="17" t="inlineStr">
        <is>
          <t>Low</t>
        </is>
      </c>
      <c r="B25" s="20" t="n">
        <v>18</v>
      </c>
      <c r="C25" s="21" t="n">
        <v>0.4</v>
      </c>
      <c r="D25" s="21" t="n">
        <v>0.45</v>
      </c>
      <c r="E25" s="21" t="n">
        <v>0.5</v>
      </c>
      <c r="F25" s="21" t="n">
        <v>0.55</v>
      </c>
      <c r="G25" s="21" t="n">
        <v>0.55</v>
      </c>
      <c r="H25" s="21" t="n">
        <v>0.6</v>
      </c>
      <c r="I25" s="13" t="n">
        <v>0.05</v>
      </c>
      <c r="J25" s="21" t="n">
        <v>0.15</v>
      </c>
      <c r="K25" s="13" t="n">
        <v>0.25</v>
      </c>
      <c r="L25" s="11" t="n">
        <v>0</v>
      </c>
    </row>
    <row r="26">
      <c r="A26" s="17" t="inlineStr">
        <is>
          <t>Base</t>
        </is>
      </c>
      <c r="B26" s="20" t="n">
        <v>20</v>
      </c>
      <c r="C26" s="21" t="n">
        <v>0.5</v>
      </c>
      <c r="D26" s="21" t="n">
        <v>0.6</v>
      </c>
      <c r="E26" s="21" t="n">
        <v>0.65</v>
      </c>
      <c r="F26" s="21" t="n">
        <v>0.7</v>
      </c>
      <c r="G26" s="21" t="n">
        <v>0.75</v>
      </c>
      <c r="H26" s="21" t="n">
        <v>0.8</v>
      </c>
      <c r="I26" s="13" t="n">
        <v>0.1</v>
      </c>
      <c r="J26" s="21" t="n">
        <v>0.1</v>
      </c>
      <c r="K26" s="13" t="n">
        <v>0.25</v>
      </c>
      <c r="L26" s="11" t="n">
        <v>360</v>
      </c>
    </row>
    <row r="27">
      <c r="A27" s="17" t="inlineStr">
        <is>
          <t>High</t>
        </is>
      </c>
      <c r="B27" s="20" t="n">
        <v>22</v>
      </c>
      <c r="C27" s="21" t="n">
        <v>0.6</v>
      </c>
      <c r="D27" s="21" t="n">
        <v>0.7</v>
      </c>
      <c r="E27" s="21" t="n">
        <v>0.75</v>
      </c>
      <c r="F27" s="21" t="n">
        <v>0.85</v>
      </c>
      <c r="G27" s="21" t="n">
        <v>0.9</v>
      </c>
      <c r="H27" s="21" t="n">
        <v>0.9</v>
      </c>
      <c r="I27" s="13" t="n">
        <v>0.15</v>
      </c>
      <c r="J27" s="21" t="n">
        <v>0.07000000000000001</v>
      </c>
      <c r="K27" s="13" t="n">
        <v>0.25</v>
      </c>
      <c r="L27" s="11" t="n">
        <v>600</v>
      </c>
    </row>
    <row r="29">
      <c r="A29" s="12" t="inlineStr">
        <is>
          <t>Fill = paid bookings ÷ available slots. Calibration (Actuals sheet): 17 Aug–21 Sep averaged ~9 paid/week = ~45% of 20 slots; last 3 weeks ~6/week = 30%.</t>
        </is>
      </c>
    </row>
    <row r="30">
      <c r="A30" s="12" t="inlineStr">
        <is>
          <t>Refund rate by count: 7 of ~52 paid cases since 1 Aug = 13%; lifetime by value 20.7% (Business dashboard). Low holds 15%; Base assumes intake/lender-library fixes cut it to 10%; High 7%.</t>
        </is>
      </c>
    </row>
    <row r="31">
      <c r="A31" s="12" t="inlineStr">
        <is>
          <t>Priority mix: only 1 Priority booking since the £150/£190 repricing. Low 5%, Base 10%, High 15% assumes the £190 point is tested and marketed.</t>
        </is>
      </c>
    </row>
    <row r="32">
      <c r="A32" s="12" t="inlineStr">
        <is>
          <t>Slots/week = your stated 18–22 range. Low 18, Base 20, High 22.</t>
        </is>
      </c>
    </row>
    <row r="33">
      <c r="A33" s="12" t="inlineStr">
        <is>
          <t>Ads: Sep catch-ups — ~£8 cost per transaction, spend reinstated up to £12/day (~£360/month), scaling paused. High assumes £20/day.</t>
        </is>
      </c>
    </row>
    <row r="34">
      <c r="A34" s="12" t="inlineStr">
        <is>
          <t>No-shows are non-refundable (PRD refund policy) so they stay in revenue; unpaid holds never count as paid so they are excluded by construction.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91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3" customWidth="1" min="8" max="8"/>
  </cols>
  <sheetData>
    <row r="1">
      <c r="A1" s="1" t="inlineStr">
        <is>
          <t>ILA Hub — monthly revenue model by scenario (Daniel only)</t>
        </is>
      </c>
    </row>
    <row r="2">
      <c r="A2" s="2" t="inlineStr">
        <is>
          <t>All figures £ unless stated. Every cell is a formula off the Assumptions sheet.</t>
        </is>
      </c>
    </row>
    <row r="4">
      <c r="A4" s="22" t="inlineStr">
        <is>
          <t>Low scenario</t>
        </is>
      </c>
      <c r="B4" s="4" t="inlineStr">
        <is>
          <t>Oct-26</t>
        </is>
      </c>
      <c r="C4" s="4" t="inlineStr">
        <is>
          <t>Nov-26</t>
        </is>
      </c>
      <c r="D4" s="4" t="inlineStr">
        <is>
          <t>Dec-26</t>
        </is>
      </c>
      <c r="E4" s="4" t="inlineStr">
        <is>
          <t>Jan-27</t>
        </is>
      </c>
      <c r="F4" s="4" t="inlineStr">
        <is>
          <t>Feb-27</t>
        </is>
      </c>
      <c r="G4" s="4" t="inlineStr">
        <is>
          <t>Mar-27</t>
        </is>
      </c>
      <c r="H4" s="4" t="inlineStr">
        <is>
          <t>6-mo total</t>
        </is>
      </c>
    </row>
    <row r="5">
      <c r="A5" s="5" t="inlineStr">
        <is>
          <t>Working weeks</t>
        </is>
      </c>
      <c r="B5" s="8">
        <f>Assumptions!B$21</f>
        <v/>
      </c>
      <c r="C5" s="8">
        <f>Assumptions!C$21</f>
        <v/>
      </c>
      <c r="D5" s="8">
        <f>Assumptions!D$21</f>
        <v/>
      </c>
      <c r="E5" s="8">
        <f>Assumptions!E$21</f>
        <v/>
      </c>
      <c r="F5" s="8">
        <f>Assumptions!F$21</f>
        <v/>
      </c>
      <c r="G5" s="8">
        <f>Assumptions!G$21</f>
        <v/>
      </c>
      <c r="H5" s="19">
        <f>SUM(B5:G5)</f>
        <v/>
      </c>
    </row>
    <row r="6">
      <c r="A6" s="5" t="inlineStr">
        <is>
          <t>Slots per week</t>
        </is>
      </c>
      <c r="B6" s="7">
        <f>Assumptions!$B$25</f>
        <v/>
      </c>
      <c r="C6" s="7">
        <f>Assumptions!$B$25</f>
        <v/>
      </c>
      <c r="D6" s="7">
        <f>Assumptions!$B$25</f>
        <v/>
      </c>
      <c r="E6" s="7">
        <f>Assumptions!$B$25</f>
        <v/>
      </c>
      <c r="F6" s="7">
        <f>Assumptions!$B$25</f>
        <v/>
      </c>
      <c r="G6" s="7">
        <f>Assumptions!$B$25</f>
        <v/>
      </c>
    </row>
    <row r="7">
      <c r="A7" s="5" t="inlineStr">
        <is>
          <t>Slots available</t>
        </is>
      </c>
      <c r="B7" s="23">
        <f>B5*B6</f>
        <v/>
      </c>
      <c r="C7" s="23">
        <f>C5*C6</f>
        <v/>
      </c>
      <c r="D7" s="23">
        <f>D5*D6</f>
        <v/>
      </c>
      <c r="E7" s="23">
        <f>E5*E6</f>
        <v/>
      </c>
      <c r="F7" s="23">
        <f>F5*F6</f>
        <v/>
      </c>
      <c r="G7" s="23">
        <f>G5*G6</f>
        <v/>
      </c>
      <c r="H7" s="23">
        <f>SUM(B7:G7)</f>
        <v/>
      </c>
    </row>
    <row r="8">
      <c r="A8" s="5" t="inlineStr">
        <is>
          <t>Fill rate (paid bookings ÷ slots)</t>
        </is>
      </c>
      <c r="B8" s="24">
        <f>Assumptions!C$25</f>
        <v/>
      </c>
      <c r="C8" s="24">
        <f>Assumptions!D$25</f>
        <v/>
      </c>
      <c r="D8" s="24">
        <f>Assumptions!E$25</f>
        <v/>
      </c>
      <c r="E8" s="24">
        <f>Assumptions!F$25</f>
        <v/>
      </c>
      <c r="F8" s="24">
        <f>Assumptions!G$25</f>
        <v/>
      </c>
      <c r="G8" s="24">
        <f>Assumptions!H$25</f>
        <v/>
      </c>
      <c r="H8" s="15">
        <f>AVERAGE(B8:G8)</f>
        <v/>
      </c>
    </row>
    <row r="9">
      <c r="A9" s="5" t="inlineStr">
        <is>
          <t>Paid cases</t>
        </is>
      </c>
      <c r="B9" s="23">
        <f>ROUND(B7*B8,0)</f>
        <v/>
      </c>
      <c r="C9" s="23">
        <f>ROUND(C7*C8,0)</f>
        <v/>
      </c>
      <c r="D9" s="23">
        <f>ROUND(D7*D8,0)</f>
        <v/>
      </c>
      <c r="E9" s="23">
        <f>ROUND(E7*E8,0)</f>
        <v/>
      </c>
      <c r="F9" s="23">
        <f>ROUND(F7*F8,0)</f>
        <v/>
      </c>
      <c r="G9" s="23">
        <f>ROUND(G7*G8,0)</f>
        <v/>
      </c>
      <c r="H9" s="23">
        <f>SUM(B9:G9)</f>
        <v/>
      </c>
    </row>
    <row r="10">
      <c r="A10" s="5" t="inlineStr">
        <is>
          <t xml:space="preserve">  of which Priority</t>
        </is>
      </c>
      <c r="B10" s="23">
        <f>ROUND(B9*Assumptions!$I$25,0)</f>
        <v/>
      </c>
      <c r="C10" s="23">
        <f>ROUND(C9*Assumptions!$I$25,0)</f>
        <v/>
      </c>
      <c r="D10" s="23">
        <f>ROUND(D9*Assumptions!$I$25,0)</f>
        <v/>
      </c>
      <c r="E10" s="23">
        <f>ROUND(E9*Assumptions!$I$25,0)</f>
        <v/>
      </c>
      <c r="F10" s="23">
        <f>ROUND(F9*Assumptions!$I$25,0)</f>
        <v/>
      </c>
      <c r="G10" s="23">
        <f>ROUND(G9*Assumptions!$I$25,0)</f>
        <v/>
      </c>
      <c r="H10" s="23">
        <f>SUM(B10:G10)</f>
        <v/>
      </c>
    </row>
    <row r="11">
      <c r="A11" s="5" t="inlineStr">
        <is>
          <t xml:space="preserve">  of which Essential</t>
        </is>
      </c>
      <c r="B11" s="23">
        <f>B9-B10</f>
        <v/>
      </c>
      <c r="C11" s="23">
        <f>C9-C10</f>
        <v/>
      </c>
      <c r="D11" s="23">
        <f>D9-D10</f>
        <v/>
      </c>
      <c r="E11" s="23">
        <f>E9-E10</f>
        <v/>
      </c>
      <c r="F11" s="23">
        <f>F9-F10</f>
        <v/>
      </c>
      <c r="G11" s="23">
        <f>G9-G10</f>
        <v/>
      </c>
      <c r="H11" s="23">
        <f>SUM(B11:G11)</f>
        <v/>
      </c>
    </row>
    <row r="12">
      <c r="A12" s="5" t="inlineStr">
        <is>
          <t>Wet-signature add-on cases</t>
        </is>
      </c>
      <c r="B12" s="23">
        <f>ROUND(B9*Assumptions!$K$25,0)</f>
        <v/>
      </c>
      <c r="C12" s="23">
        <f>ROUND(C9*Assumptions!$K$25,0)</f>
        <v/>
      </c>
      <c r="D12" s="23">
        <f>ROUND(D9*Assumptions!$K$25,0)</f>
        <v/>
      </c>
      <c r="E12" s="23">
        <f>ROUND(E9*Assumptions!$K$25,0)</f>
        <v/>
      </c>
      <c r="F12" s="23">
        <f>ROUND(F9*Assumptions!$K$25,0)</f>
        <v/>
      </c>
      <c r="G12" s="23">
        <f>ROUND(G9*Assumptions!$K$25,0)</f>
        <v/>
      </c>
      <c r="H12" s="23">
        <f>SUM(B12:G12)</f>
        <v/>
      </c>
    </row>
    <row r="13">
      <c r="A13" s="5" t="inlineStr">
        <is>
          <t>Service revenue (gross)</t>
        </is>
      </c>
      <c r="B13" s="25">
        <f>B11*Assumptions!$B$4+B10*Assumptions!$B$5</f>
        <v/>
      </c>
      <c r="C13" s="25">
        <f>C11*Assumptions!$B$4+C10*Assumptions!$B$5</f>
        <v/>
      </c>
      <c r="D13" s="25">
        <f>D11*Assumptions!$B$4+D10*Assumptions!$B$5</f>
        <v/>
      </c>
      <c r="E13" s="25">
        <f>E11*Assumptions!$B$4+E10*Assumptions!$B$5</f>
        <v/>
      </c>
      <c r="F13" s="25">
        <f>F11*Assumptions!$B$4+F10*Assumptions!$B$5</f>
        <v/>
      </c>
      <c r="G13" s="25">
        <f>G11*Assumptions!$B$4+G10*Assumptions!$B$5</f>
        <v/>
      </c>
      <c r="H13" s="25">
        <f>SUM(B13:G13)</f>
        <v/>
      </c>
    </row>
    <row r="14">
      <c r="A14" s="5" t="inlineStr">
        <is>
          <t>Add-on revenue</t>
        </is>
      </c>
      <c r="B14" s="25">
        <f>B12*Assumptions!$B$6</f>
        <v/>
      </c>
      <c r="C14" s="25">
        <f>C12*Assumptions!$B$6</f>
        <v/>
      </c>
      <c r="D14" s="25">
        <f>D12*Assumptions!$B$6</f>
        <v/>
      </c>
      <c r="E14" s="25">
        <f>E12*Assumptions!$B$6</f>
        <v/>
      </c>
      <c r="F14" s="25">
        <f>F12*Assumptions!$B$6</f>
        <v/>
      </c>
      <c r="G14" s="25">
        <f>G12*Assumptions!$B$6</f>
        <v/>
      </c>
      <c r="H14" s="25">
        <f>SUM(B14:G14)</f>
        <v/>
      </c>
    </row>
    <row r="15">
      <c r="A15" s="5" t="inlineStr">
        <is>
          <t>Gross bookings</t>
        </is>
      </c>
      <c r="B15" s="25">
        <f>B13+B14</f>
        <v/>
      </c>
      <c r="C15" s="25">
        <f>C13+C14</f>
        <v/>
      </c>
      <c r="D15" s="25">
        <f>D13+D14</f>
        <v/>
      </c>
      <c r="E15" s="25">
        <f>E13+E14</f>
        <v/>
      </c>
      <c r="F15" s="25">
        <f>F13+F14</f>
        <v/>
      </c>
      <c r="G15" s="25">
        <f>G13+G14</f>
        <v/>
      </c>
      <c r="H15" s="25">
        <f>SUM(B15:G15)</f>
        <v/>
      </c>
    </row>
    <row r="16">
      <c r="A16" s="5" t="inlineStr">
        <is>
          <t>Refunds</t>
        </is>
      </c>
      <c r="B16" s="25">
        <f>-ROUND(B15*Assumptions!$J$25,0)</f>
        <v/>
      </c>
      <c r="C16" s="25">
        <f>-ROUND(C15*Assumptions!$J$25,0)</f>
        <v/>
      </c>
      <c r="D16" s="25">
        <f>-ROUND(D15*Assumptions!$J$25,0)</f>
        <v/>
      </c>
      <c r="E16" s="25">
        <f>-ROUND(E15*Assumptions!$J$25,0)</f>
        <v/>
      </c>
      <c r="F16" s="25">
        <f>-ROUND(F15*Assumptions!$J$25,0)</f>
        <v/>
      </c>
      <c r="G16" s="25">
        <f>-ROUND(G15*Assumptions!$J$25,0)</f>
        <v/>
      </c>
      <c r="H16" s="25">
        <f>SUM(B16:G16)</f>
        <v/>
      </c>
    </row>
    <row r="17">
      <c r="A17" s="26" t="inlineStr">
        <is>
          <t>Net delivered revenue</t>
        </is>
      </c>
      <c r="B17" s="27">
        <f>B15+B16</f>
        <v/>
      </c>
      <c r="C17" s="27">
        <f>C15+C16</f>
        <v/>
      </c>
      <c r="D17" s="27">
        <f>D15+D16</f>
        <v/>
      </c>
      <c r="E17" s="27">
        <f>E15+E16</f>
        <v/>
      </c>
      <c r="F17" s="27">
        <f>F15+F16</f>
        <v/>
      </c>
      <c r="G17" s="27">
        <f>G15+G16</f>
        <v/>
      </c>
      <c r="H17" s="27">
        <f>SUM(B17:G17)</f>
        <v/>
      </c>
    </row>
    <row r="18">
      <c r="A18" s="5" t="inlineStr">
        <is>
          <t>Stripe fees</t>
        </is>
      </c>
      <c r="B18" s="25">
        <f>-(B15*Assumptions!$B$7+B9*Assumptions!$B$8)</f>
        <v/>
      </c>
      <c r="C18" s="25">
        <f>-(C15*Assumptions!$B$7+C9*Assumptions!$B$8)</f>
        <v/>
      </c>
      <c r="D18" s="25">
        <f>-(D15*Assumptions!$B$7+D9*Assumptions!$B$8)</f>
        <v/>
      </c>
      <c r="E18" s="25">
        <f>-(E15*Assumptions!$B$7+E9*Assumptions!$B$8)</f>
        <v/>
      </c>
      <c r="F18" s="25">
        <f>-(F15*Assumptions!$B$7+F9*Assumptions!$B$8)</f>
        <v/>
      </c>
      <c r="G18" s="25">
        <f>-(G15*Assumptions!$B$7+G9*Assumptions!$B$8)</f>
        <v/>
      </c>
      <c r="H18" s="25">
        <f>SUM(B18:G18)</f>
        <v/>
      </c>
    </row>
    <row r="19">
      <c r="A19" s="5" t="inlineStr">
        <is>
          <t>E-signature</t>
        </is>
      </c>
      <c r="B19" s="25">
        <f>-B9*Assumptions!$B$9</f>
        <v/>
      </c>
      <c r="C19" s="25">
        <f>-C9*Assumptions!$B$9</f>
        <v/>
      </c>
      <c r="D19" s="25">
        <f>-D9*Assumptions!$B$9</f>
        <v/>
      </c>
      <c r="E19" s="25">
        <f>-E9*Assumptions!$B$9</f>
        <v/>
      </c>
      <c r="F19" s="25">
        <f>-F9*Assumptions!$B$9</f>
        <v/>
      </c>
      <c r="G19" s="25">
        <f>-G9*Assumptions!$B$9</f>
        <v/>
      </c>
      <c r="H19" s="25">
        <f>SUM(B19:G19)</f>
        <v/>
      </c>
    </row>
    <row r="20">
      <c r="A20" s="5" t="inlineStr">
        <is>
          <t>AI prep</t>
        </is>
      </c>
      <c r="B20" s="25">
        <f>-B9*Assumptions!$B$10</f>
        <v/>
      </c>
      <c r="C20" s="25">
        <f>-C9*Assumptions!$B$10</f>
        <v/>
      </c>
      <c r="D20" s="25">
        <f>-D9*Assumptions!$B$10</f>
        <v/>
      </c>
      <c r="E20" s="25">
        <f>-E9*Assumptions!$B$10</f>
        <v/>
      </c>
      <c r="F20" s="25">
        <f>-F9*Assumptions!$B$10</f>
        <v/>
      </c>
      <c r="G20" s="25">
        <f>-G9*Assumptions!$B$10</f>
        <v/>
      </c>
      <c r="H20" s="25">
        <f>SUM(B20:G20)</f>
        <v/>
      </c>
    </row>
    <row r="21">
      <c r="A21" s="5" t="inlineStr">
        <is>
          <t>Postage (wet-sign cases)</t>
        </is>
      </c>
      <c r="B21" s="25">
        <f>-B12*Assumptions!$B$11</f>
        <v/>
      </c>
      <c r="C21" s="25">
        <f>-C12*Assumptions!$B$11</f>
        <v/>
      </c>
      <c r="D21" s="25">
        <f>-D12*Assumptions!$B$11</f>
        <v/>
      </c>
      <c r="E21" s="25">
        <f>-E12*Assumptions!$B$11</f>
        <v/>
      </c>
      <c r="F21" s="25">
        <f>-F12*Assumptions!$B$11</f>
        <v/>
      </c>
      <c r="G21" s="25">
        <f>-G12*Assumptions!$B$11</f>
        <v/>
      </c>
      <c r="H21" s="25">
        <f>SUM(B21:G21)</f>
        <v/>
      </c>
    </row>
    <row r="22">
      <c r="A22" s="5" t="inlineStr">
        <is>
          <t>Total direct platform costs</t>
        </is>
      </c>
      <c r="B22" s="25">
        <f>SUM(B18:B21)</f>
        <v/>
      </c>
      <c r="C22" s="25">
        <f>SUM(C18:C21)</f>
        <v/>
      </c>
      <c r="D22" s="25">
        <f>SUM(D18:D21)</f>
        <v/>
      </c>
      <c r="E22" s="25">
        <f>SUM(E18:E21)</f>
        <v/>
      </c>
      <c r="F22" s="25">
        <f>SUM(F18:F21)</f>
        <v/>
      </c>
      <c r="G22" s="25">
        <f>SUM(G18:G21)</f>
        <v/>
      </c>
      <c r="H22" s="25">
        <f>SUM(B22:G22)</f>
        <v/>
      </c>
    </row>
    <row r="23">
      <c r="A23" s="5" t="inlineStr">
        <is>
          <t>Net after direct costs</t>
        </is>
      </c>
      <c r="B23" s="25">
        <f>B17+B22</f>
        <v/>
      </c>
      <c r="C23" s="25">
        <f>C17+C22</f>
        <v/>
      </c>
      <c r="D23" s="25">
        <f>D17+D22</f>
        <v/>
      </c>
      <c r="E23" s="25">
        <f>E17+E22</f>
        <v/>
      </c>
      <c r="F23" s="25">
        <f>F17+F22</f>
        <v/>
      </c>
      <c r="G23" s="25">
        <f>G17+G22</f>
        <v/>
      </c>
      <c r="H23" s="25">
        <f>SUM(B23:G23)</f>
        <v/>
      </c>
    </row>
    <row r="24">
      <c r="A24" s="5" t="inlineStr">
        <is>
          <t>Marketing (off the top)</t>
        </is>
      </c>
      <c r="B24" s="6">
        <f>-Assumptions!$L$25</f>
        <v/>
      </c>
      <c r="C24" s="6">
        <f>-Assumptions!$L$25</f>
        <v/>
      </c>
      <c r="D24" s="6">
        <f>-Assumptions!$L$25</f>
        <v/>
      </c>
      <c r="E24" s="6">
        <f>-Assumptions!$L$25</f>
        <v/>
      </c>
      <c r="F24" s="6">
        <f>-Assumptions!$L$25</f>
        <v/>
      </c>
      <c r="G24" s="6">
        <f>-Assumptions!$L$25</f>
        <v/>
      </c>
      <c r="H24" s="25">
        <f>SUM(B24:G24)</f>
        <v/>
      </c>
    </row>
    <row r="25">
      <c r="A25" s="26" t="inlineStr">
        <is>
          <t>Distributable net</t>
        </is>
      </c>
      <c r="B25" s="27">
        <f>B23+B24</f>
        <v/>
      </c>
      <c r="C25" s="27">
        <f>C23+C24</f>
        <v/>
      </c>
      <c r="D25" s="27">
        <f>D23+D24</f>
        <v/>
      </c>
      <c r="E25" s="27">
        <f>E23+E24</f>
        <v/>
      </c>
      <c r="F25" s="27">
        <f>F23+F24</f>
        <v/>
      </c>
      <c r="G25" s="27">
        <f>G23+G24</f>
        <v/>
      </c>
      <c r="H25" s="27">
        <f>SUM(B25:G25)</f>
        <v/>
      </c>
    </row>
    <row r="26">
      <c r="A26" s="5" t="inlineStr">
        <is>
          <t>Daniel (60%)</t>
        </is>
      </c>
      <c r="B26" s="25">
        <f>B25*Assumptions!$B$12</f>
        <v/>
      </c>
      <c r="C26" s="25">
        <f>C25*Assumptions!$B$12</f>
        <v/>
      </c>
      <c r="D26" s="25">
        <f>D25*Assumptions!$B$12</f>
        <v/>
      </c>
      <c r="E26" s="25">
        <f>E25*Assumptions!$B$12</f>
        <v/>
      </c>
      <c r="F26" s="25">
        <f>F25*Assumptions!$B$12</f>
        <v/>
      </c>
      <c r="G26" s="25">
        <f>G25*Assumptions!$B$12</f>
        <v/>
      </c>
      <c r="H26" s="25">
        <f>SUM(B26:G26)</f>
        <v/>
      </c>
    </row>
    <row r="27">
      <c r="A27" s="5" t="inlineStr">
        <is>
          <t>Rona (40%)</t>
        </is>
      </c>
      <c r="B27" s="25">
        <f>B25*Assumptions!$B$13</f>
        <v/>
      </c>
      <c r="C27" s="25">
        <f>C25*Assumptions!$B$13</f>
        <v/>
      </c>
      <c r="D27" s="25">
        <f>D25*Assumptions!$B$13</f>
        <v/>
      </c>
      <c r="E27" s="25">
        <f>E25*Assumptions!$B$13</f>
        <v/>
      </c>
      <c r="F27" s="25">
        <f>F25*Assumptions!$B$13</f>
        <v/>
      </c>
      <c r="G27" s="25">
        <f>G25*Assumptions!$B$13</f>
        <v/>
      </c>
      <c r="H27" s="25">
        <f>SUM(B27:G27)</f>
        <v/>
      </c>
    </row>
    <row r="28">
      <c r="A28" s="5" t="inlineStr">
        <is>
          <t>Cumulative net delivered revenue</t>
        </is>
      </c>
      <c r="B28" s="25">
        <f>B17</f>
        <v/>
      </c>
      <c r="C28" s="25">
        <f>B28+C17</f>
        <v/>
      </c>
      <c r="D28" s="25">
        <f>C28+D17</f>
        <v/>
      </c>
      <c r="E28" s="25">
        <f>D28+E17</f>
        <v/>
      </c>
      <c r="F28" s="25">
        <f>E28+F17</f>
        <v/>
      </c>
      <c r="G28" s="25">
        <f>F28+G17</f>
        <v/>
      </c>
    </row>
    <row r="29">
      <c r="A29" s="5" t="inlineStr">
        <is>
          <t>Delivered cases (paid less refunded)</t>
        </is>
      </c>
      <c r="B29" s="23">
        <f>B9+ROUND(B16/Assumptions!$B$4,0)</f>
        <v/>
      </c>
      <c r="C29" s="23">
        <f>C9+ROUND(C16/Assumptions!$B$4,0)</f>
        <v/>
      </c>
      <c r="D29" s="23">
        <f>D9+ROUND(D16/Assumptions!$B$4,0)</f>
        <v/>
      </c>
      <c r="E29" s="23">
        <f>E9+ROUND(E16/Assumptions!$B$4,0)</f>
        <v/>
      </c>
      <c r="F29" s="23">
        <f>F9+ROUND(F16/Assumptions!$B$4,0)</f>
        <v/>
      </c>
      <c r="G29" s="23">
        <f>G9+ROUND(G16/Assumptions!$B$4,0)</f>
        <v/>
      </c>
      <c r="H29" s="23">
        <f>SUM(B29:G29)</f>
        <v/>
      </c>
    </row>
    <row r="30">
      <c r="A30" s="5" t="inlineStr">
        <is>
          <t>Daniel hours per week</t>
        </is>
      </c>
      <c r="B30" s="19">
        <f>IF(B5=0,0,B9*Assumptions!$B$14/60/B5)</f>
        <v/>
      </c>
      <c r="C30" s="19">
        <f>IF(C5=0,0,C9*Assumptions!$B$14/60/C5)</f>
        <v/>
      </c>
      <c r="D30" s="19">
        <f>IF(D5=0,0,D9*Assumptions!$B$14/60/D5)</f>
        <v/>
      </c>
      <c r="E30" s="19">
        <f>IF(E5=0,0,E9*Assumptions!$B$14/60/E5)</f>
        <v/>
      </c>
      <c r="F30" s="19">
        <f>IF(F5=0,0,F9*Assumptions!$B$14/60/F5)</f>
        <v/>
      </c>
      <c r="G30" s="19">
        <f>IF(G5=0,0,G9*Assumptions!$B$14/60/G5)</f>
        <v/>
      </c>
      <c r="H30" s="19">
        <f>AVERAGE(B30:G30)</f>
        <v/>
      </c>
    </row>
    <row r="31">
      <c r="A31" s="5" t="inlineStr">
        <is>
          <t>Hits £6k milestone?</t>
        </is>
      </c>
      <c r="B31" s="5">
        <f>IF(B17&gt;=Assumptions!$B$16,"Yes","No")</f>
        <v/>
      </c>
      <c r="C31" s="5">
        <f>IF(C17&gt;=Assumptions!$B$16,"Yes","No")</f>
        <v/>
      </c>
      <c r="D31" s="5">
        <f>IF(D17&gt;=Assumptions!$B$16,"Yes","No")</f>
        <v/>
      </c>
      <c r="E31" s="5">
        <f>IF(E17&gt;=Assumptions!$B$16,"Yes","No")</f>
        <v/>
      </c>
      <c r="F31" s="5">
        <f>IF(F17&gt;=Assumptions!$B$16,"Yes","No")</f>
        <v/>
      </c>
      <c r="G31" s="5">
        <f>IF(G17&gt;=Assumptions!$B$16,"Yes","No")</f>
        <v/>
      </c>
    </row>
    <row r="34">
      <c r="A34" s="22" t="inlineStr">
        <is>
          <t>Base scenario</t>
        </is>
      </c>
      <c r="B34" s="4" t="inlineStr">
        <is>
          <t>Oct-26</t>
        </is>
      </c>
      <c r="C34" s="4" t="inlineStr">
        <is>
          <t>Nov-26</t>
        </is>
      </c>
      <c r="D34" s="4" t="inlineStr">
        <is>
          <t>Dec-26</t>
        </is>
      </c>
      <c r="E34" s="4" t="inlineStr">
        <is>
          <t>Jan-27</t>
        </is>
      </c>
      <c r="F34" s="4" t="inlineStr">
        <is>
          <t>Feb-27</t>
        </is>
      </c>
      <c r="G34" s="4" t="inlineStr">
        <is>
          <t>Mar-27</t>
        </is>
      </c>
      <c r="H34" s="4" t="inlineStr">
        <is>
          <t>6-mo total</t>
        </is>
      </c>
    </row>
    <row r="35">
      <c r="A35" s="5" t="inlineStr">
        <is>
          <t>Working weeks</t>
        </is>
      </c>
      <c r="B35" s="8">
        <f>Assumptions!B$21</f>
        <v/>
      </c>
      <c r="C35" s="8">
        <f>Assumptions!C$21</f>
        <v/>
      </c>
      <c r="D35" s="8">
        <f>Assumptions!D$21</f>
        <v/>
      </c>
      <c r="E35" s="8">
        <f>Assumptions!E$21</f>
        <v/>
      </c>
      <c r="F35" s="8">
        <f>Assumptions!F$21</f>
        <v/>
      </c>
      <c r="G35" s="8">
        <f>Assumptions!G$21</f>
        <v/>
      </c>
      <c r="H35" s="19">
        <f>SUM(B35:G35)</f>
        <v/>
      </c>
    </row>
    <row r="36">
      <c r="A36" s="5" t="inlineStr">
        <is>
          <t>Slots per week</t>
        </is>
      </c>
      <c r="B36" s="7">
        <f>Assumptions!$B$26</f>
        <v/>
      </c>
      <c r="C36" s="7">
        <f>Assumptions!$B$26</f>
        <v/>
      </c>
      <c r="D36" s="7">
        <f>Assumptions!$B$26</f>
        <v/>
      </c>
      <c r="E36" s="7">
        <f>Assumptions!$B$26</f>
        <v/>
      </c>
      <c r="F36" s="7">
        <f>Assumptions!$B$26</f>
        <v/>
      </c>
      <c r="G36" s="7">
        <f>Assumptions!$B$26</f>
        <v/>
      </c>
    </row>
    <row r="37">
      <c r="A37" s="5" t="inlineStr">
        <is>
          <t>Slots available</t>
        </is>
      </c>
      <c r="B37" s="23">
        <f>B35*B36</f>
        <v/>
      </c>
      <c r="C37" s="23">
        <f>C35*C36</f>
        <v/>
      </c>
      <c r="D37" s="23">
        <f>D35*D36</f>
        <v/>
      </c>
      <c r="E37" s="23">
        <f>E35*E36</f>
        <v/>
      </c>
      <c r="F37" s="23">
        <f>F35*F36</f>
        <v/>
      </c>
      <c r="G37" s="23">
        <f>G35*G36</f>
        <v/>
      </c>
      <c r="H37" s="23">
        <f>SUM(B37:G37)</f>
        <v/>
      </c>
    </row>
    <row r="38">
      <c r="A38" s="5" t="inlineStr">
        <is>
          <t>Fill rate (paid bookings ÷ slots)</t>
        </is>
      </c>
      <c r="B38" s="24">
        <f>Assumptions!C$26</f>
        <v/>
      </c>
      <c r="C38" s="24">
        <f>Assumptions!D$26</f>
        <v/>
      </c>
      <c r="D38" s="24">
        <f>Assumptions!E$26</f>
        <v/>
      </c>
      <c r="E38" s="24">
        <f>Assumptions!F$26</f>
        <v/>
      </c>
      <c r="F38" s="24">
        <f>Assumptions!G$26</f>
        <v/>
      </c>
      <c r="G38" s="24">
        <f>Assumptions!H$26</f>
        <v/>
      </c>
      <c r="H38" s="15">
        <f>AVERAGE(B38:G38)</f>
        <v/>
      </c>
    </row>
    <row r="39">
      <c r="A39" s="5" t="inlineStr">
        <is>
          <t>Paid cases</t>
        </is>
      </c>
      <c r="B39" s="23">
        <f>ROUND(B37*B38,0)</f>
        <v/>
      </c>
      <c r="C39" s="23">
        <f>ROUND(C37*C38,0)</f>
        <v/>
      </c>
      <c r="D39" s="23">
        <f>ROUND(D37*D38,0)</f>
        <v/>
      </c>
      <c r="E39" s="23">
        <f>ROUND(E37*E38,0)</f>
        <v/>
      </c>
      <c r="F39" s="23">
        <f>ROUND(F37*F38,0)</f>
        <v/>
      </c>
      <c r="G39" s="23">
        <f>ROUND(G37*G38,0)</f>
        <v/>
      </c>
      <c r="H39" s="23">
        <f>SUM(B39:G39)</f>
        <v/>
      </c>
    </row>
    <row r="40">
      <c r="A40" s="5" t="inlineStr">
        <is>
          <t xml:space="preserve">  of which Priority</t>
        </is>
      </c>
      <c r="B40" s="23">
        <f>ROUND(B39*Assumptions!$I$26,0)</f>
        <v/>
      </c>
      <c r="C40" s="23">
        <f>ROUND(C39*Assumptions!$I$26,0)</f>
        <v/>
      </c>
      <c r="D40" s="23">
        <f>ROUND(D39*Assumptions!$I$26,0)</f>
        <v/>
      </c>
      <c r="E40" s="23">
        <f>ROUND(E39*Assumptions!$I$26,0)</f>
        <v/>
      </c>
      <c r="F40" s="23">
        <f>ROUND(F39*Assumptions!$I$26,0)</f>
        <v/>
      </c>
      <c r="G40" s="23">
        <f>ROUND(G39*Assumptions!$I$26,0)</f>
        <v/>
      </c>
      <c r="H40" s="23">
        <f>SUM(B40:G40)</f>
        <v/>
      </c>
    </row>
    <row r="41">
      <c r="A41" s="5" t="inlineStr">
        <is>
          <t xml:space="preserve">  of which Essential</t>
        </is>
      </c>
      <c r="B41" s="23">
        <f>B39-B40</f>
        <v/>
      </c>
      <c r="C41" s="23">
        <f>C39-C40</f>
        <v/>
      </c>
      <c r="D41" s="23">
        <f>D39-D40</f>
        <v/>
      </c>
      <c r="E41" s="23">
        <f>E39-E40</f>
        <v/>
      </c>
      <c r="F41" s="23">
        <f>F39-F40</f>
        <v/>
      </c>
      <c r="G41" s="23">
        <f>G39-G40</f>
        <v/>
      </c>
      <c r="H41" s="23">
        <f>SUM(B41:G41)</f>
        <v/>
      </c>
    </row>
    <row r="42">
      <c r="A42" s="5" t="inlineStr">
        <is>
          <t>Wet-signature add-on cases</t>
        </is>
      </c>
      <c r="B42" s="23">
        <f>ROUND(B39*Assumptions!$K$26,0)</f>
        <v/>
      </c>
      <c r="C42" s="23">
        <f>ROUND(C39*Assumptions!$K$26,0)</f>
        <v/>
      </c>
      <c r="D42" s="23">
        <f>ROUND(D39*Assumptions!$K$26,0)</f>
        <v/>
      </c>
      <c r="E42" s="23">
        <f>ROUND(E39*Assumptions!$K$26,0)</f>
        <v/>
      </c>
      <c r="F42" s="23">
        <f>ROUND(F39*Assumptions!$K$26,0)</f>
        <v/>
      </c>
      <c r="G42" s="23">
        <f>ROUND(G39*Assumptions!$K$26,0)</f>
        <v/>
      </c>
      <c r="H42" s="23">
        <f>SUM(B42:G42)</f>
        <v/>
      </c>
    </row>
    <row r="43">
      <c r="A43" s="5" t="inlineStr">
        <is>
          <t>Service revenue (gross)</t>
        </is>
      </c>
      <c r="B43" s="25">
        <f>B41*Assumptions!$B$4+B40*Assumptions!$B$5</f>
        <v/>
      </c>
      <c r="C43" s="25">
        <f>C41*Assumptions!$B$4+C40*Assumptions!$B$5</f>
        <v/>
      </c>
      <c r="D43" s="25">
        <f>D41*Assumptions!$B$4+D40*Assumptions!$B$5</f>
        <v/>
      </c>
      <c r="E43" s="25">
        <f>E41*Assumptions!$B$4+E40*Assumptions!$B$5</f>
        <v/>
      </c>
      <c r="F43" s="25">
        <f>F41*Assumptions!$B$4+F40*Assumptions!$B$5</f>
        <v/>
      </c>
      <c r="G43" s="25">
        <f>G41*Assumptions!$B$4+G40*Assumptions!$B$5</f>
        <v/>
      </c>
      <c r="H43" s="25">
        <f>SUM(B43:G43)</f>
        <v/>
      </c>
    </row>
    <row r="44">
      <c r="A44" s="5" t="inlineStr">
        <is>
          <t>Add-on revenue</t>
        </is>
      </c>
      <c r="B44" s="25">
        <f>B42*Assumptions!$B$6</f>
        <v/>
      </c>
      <c r="C44" s="25">
        <f>C42*Assumptions!$B$6</f>
        <v/>
      </c>
      <c r="D44" s="25">
        <f>D42*Assumptions!$B$6</f>
        <v/>
      </c>
      <c r="E44" s="25">
        <f>E42*Assumptions!$B$6</f>
        <v/>
      </c>
      <c r="F44" s="25">
        <f>F42*Assumptions!$B$6</f>
        <v/>
      </c>
      <c r="G44" s="25">
        <f>G42*Assumptions!$B$6</f>
        <v/>
      </c>
      <c r="H44" s="25">
        <f>SUM(B44:G44)</f>
        <v/>
      </c>
    </row>
    <row r="45">
      <c r="A45" s="5" t="inlineStr">
        <is>
          <t>Gross bookings</t>
        </is>
      </c>
      <c r="B45" s="25">
        <f>B43+B44</f>
        <v/>
      </c>
      <c r="C45" s="25">
        <f>C43+C44</f>
        <v/>
      </c>
      <c r="D45" s="25">
        <f>D43+D44</f>
        <v/>
      </c>
      <c r="E45" s="25">
        <f>E43+E44</f>
        <v/>
      </c>
      <c r="F45" s="25">
        <f>F43+F44</f>
        <v/>
      </c>
      <c r="G45" s="25">
        <f>G43+G44</f>
        <v/>
      </c>
      <c r="H45" s="25">
        <f>SUM(B45:G45)</f>
        <v/>
      </c>
    </row>
    <row r="46">
      <c r="A46" s="5" t="inlineStr">
        <is>
          <t>Refunds</t>
        </is>
      </c>
      <c r="B46" s="25">
        <f>-ROUND(B45*Assumptions!$J$26,0)</f>
        <v/>
      </c>
      <c r="C46" s="25">
        <f>-ROUND(C45*Assumptions!$J$26,0)</f>
        <v/>
      </c>
      <c r="D46" s="25">
        <f>-ROUND(D45*Assumptions!$J$26,0)</f>
        <v/>
      </c>
      <c r="E46" s="25">
        <f>-ROUND(E45*Assumptions!$J$26,0)</f>
        <v/>
      </c>
      <c r="F46" s="25">
        <f>-ROUND(F45*Assumptions!$J$26,0)</f>
        <v/>
      </c>
      <c r="G46" s="25">
        <f>-ROUND(G45*Assumptions!$J$26,0)</f>
        <v/>
      </c>
      <c r="H46" s="25">
        <f>SUM(B46:G46)</f>
        <v/>
      </c>
    </row>
    <row r="47">
      <c r="A47" s="26" t="inlineStr">
        <is>
          <t>Net delivered revenue</t>
        </is>
      </c>
      <c r="B47" s="27">
        <f>B45+B46</f>
        <v/>
      </c>
      <c r="C47" s="27">
        <f>C45+C46</f>
        <v/>
      </c>
      <c r="D47" s="27">
        <f>D45+D46</f>
        <v/>
      </c>
      <c r="E47" s="27">
        <f>E45+E46</f>
        <v/>
      </c>
      <c r="F47" s="27">
        <f>F45+F46</f>
        <v/>
      </c>
      <c r="G47" s="27">
        <f>G45+G46</f>
        <v/>
      </c>
      <c r="H47" s="27">
        <f>SUM(B47:G47)</f>
        <v/>
      </c>
    </row>
    <row r="48">
      <c r="A48" s="5" t="inlineStr">
        <is>
          <t>Stripe fees</t>
        </is>
      </c>
      <c r="B48" s="25">
        <f>-(B45*Assumptions!$B$7+B39*Assumptions!$B$8)</f>
        <v/>
      </c>
      <c r="C48" s="25">
        <f>-(C45*Assumptions!$B$7+C39*Assumptions!$B$8)</f>
        <v/>
      </c>
      <c r="D48" s="25">
        <f>-(D45*Assumptions!$B$7+D39*Assumptions!$B$8)</f>
        <v/>
      </c>
      <c r="E48" s="25">
        <f>-(E45*Assumptions!$B$7+E39*Assumptions!$B$8)</f>
        <v/>
      </c>
      <c r="F48" s="25">
        <f>-(F45*Assumptions!$B$7+F39*Assumptions!$B$8)</f>
        <v/>
      </c>
      <c r="G48" s="25">
        <f>-(G45*Assumptions!$B$7+G39*Assumptions!$B$8)</f>
        <v/>
      </c>
      <c r="H48" s="25">
        <f>SUM(B48:G48)</f>
        <v/>
      </c>
    </row>
    <row r="49">
      <c r="A49" s="5" t="inlineStr">
        <is>
          <t>E-signature</t>
        </is>
      </c>
      <c r="B49" s="25">
        <f>-B39*Assumptions!$B$9</f>
        <v/>
      </c>
      <c r="C49" s="25">
        <f>-C39*Assumptions!$B$9</f>
        <v/>
      </c>
      <c r="D49" s="25">
        <f>-D39*Assumptions!$B$9</f>
        <v/>
      </c>
      <c r="E49" s="25">
        <f>-E39*Assumptions!$B$9</f>
        <v/>
      </c>
      <c r="F49" s="25">
        <f>-F39*Assumptions!$B$9</f>
        <v/>
      </c>
      <c r="G49" s="25">
        <f>-G39*Assumptions!$B$9</f>
        <v/>
      </c>
      <c r="H49" s="25">
        <f>SUM(B49:G49)</f>
        <v/>
      </c>
    </row>
    <row r="50">
      <c r="A50" s="5" t="inlineStr">
        <is>
          <t>AI prep</t>
        </is>
      </c>
      <c r="B50" s="25">
        <f>-B39*Assumptions!$B$10</f>
        <v/>
      </c>
      <c r="C50" s="25">
        <f>-C39*Assumptions!$B$10</f>
        <v/>
      </c>
      <c r="D50" s="25">
        <f>-D39*Assumptions!$B$10</f>
        <v/>
      </c>
      <c r="E50" s="25">
        <f>-E39*Assumptions!$B$10</f>
        <v/>
      </c>
      <c r="F50" s="25">
        <f>-F39*Assumptions!$B$10</f>
        <v/>
      </c>
      <c r="G50" s="25">
        <f>-G39*Assumptions!$B$10</f>
        <v/>
      </c>
      <c r="H50" s="25">
        <f>SUM(B50:G50)</f>
        <v/>
      </c>
    </row>
    <row r="51">
      <c r="A51" s="5" t="inlineStr">
        <is>
          <t>Postage (wet-sign cases)</t>
        </is>
      </c>
      <c r="B51" s="25">
        <f>-B42*Assumptions!$B$11</f>
        <v/>
      </c>
      <c r="C51" s="25">
        <f>-C42*Assumptions!$B$11</f>
        <v/>
      </c>
      <c r="D51" s="25">
        <f>-D42*Assumptions!$B$11</f>
        <v/>
      </c>
      <c r="E51" s="25">
        <f>-E42*Assumptions!$B$11</f>
        <v/>
      </c>
      <c r="F51" s="25">
        <f>-F42*Assumptions!$B$11</f>
        <v/>
      </c>
      <c r="G51" s="25">
        <f>-G42*Assumptions!$B$11</f>
        <v/>
      </c>
      <c r="H51" s="25">
        <f>SUM(B51:G51)</f>
        <v/>
      </c>
    </row>
    <row r="52">
      <c r="A52" s="5" t="inlineStr">
        <is>
          <t>Total direct platform costs</t>
        </is>
      </c>
      <c r="B52" s="25">
        <f>SUM(B48:B51)</f>
        <v/>
      </c>
      <c r="C52" s="25">
        <f>SUM(C48:C51)</f>
        <v/>
      </c>
      <c r="D52" s="25">
        <f>SUM(D48:D51)</f>
        <v/>
      </c>
      <c r="E52" s="25">
        <f>SUM(E48:E51)</f>
        <v/>
      </c>
      <c r="F52" s="25">
        <f>SUM(F48:F51)</f>
        <v/>
      </c>
      <c r="G52" s="25">
        <f>SUM(G48:G51)</f>
        <v/>
      </c>
      <c r="H52" s="25">
        <f>SUM(B52:G52)</f>
        <v/>
      </c>
    </row>
    <row r="53">
      <c r="A53" s="5" t="inlineStr">
        <is>
          <t>Net after direct costs</t>
        </is>
      </c>
      <c r="B53" s="25">
        <f>B47+B52</f>
        <v/>
      </c>
      <c r="C53" s="25">
        <f>C47+C52</f>
        <v/>
      </c>
      <c r="D53" s="25">
        <f>D47+D52</f>
        <v/>
      </c>
      <c r="E53" s="25">
        <f>E47+E52</f>
        <v/>
      </c>
      <c r="F53" s="25">
        <f>F47+F52</f>
        <v/>
      </c>
      <c r="G53" s="25">
        <f>G47+G52</f>
        <v/>
      </c>
      <c r="H53" s="25">
        <f>SUM(B53:G53)</f>
        <v/>
      </c>
    </row>
    <row r="54">
      <c r="A54" s="5" t="inlineStr">
        <is>
          <t>Marketing (off the top)</t>
        </is>
      </c>
      <c r="B54" s="6">
        <f>-Assumptions!$L$26</f>
        <v/>
      </c>
      <c r="C54" s="6">
        <f>-Assumptions!$L$26</f>
        <v/>
      </c>
      <c r="D54" s="6">
        <f>-Assumptions!$L$26</f>
        <v/>
      </c>
      <c r="E54" s="6">
        <f>-Assumptions!$L$26</f>
        <v/>
      </c>
      <c r="F54" s="6">
        <f>-Assumptions!$L$26</f>
        <v/>
      </c>
      <c r="G54" s="6">
        <f>-Assumptions!$L$26</f>
        <v/>
      </c>
      <c r="H54" s="25">
        <f>SUM(B54:G54)</f>
        <v/>
      </c>
    </row>
    <row r="55">
      <c r="A55" s="26" t="inlineStr">
        <is>
          <t>Distributable net</t>
        </is>
      </c>
      <c r="B55" s="27">
        <f>B53+B54</f>
        <v/>
      </c>
      <c r="C55" s="27">
        <f>C53+C54</f>
        <v/>
      </c>
      <c r="D55" s="27">
        <f>D53+D54</f>
        <v/>
      </c>
      <c r="E55" s="27">
        <f>E53+E54</f>
        <v/>
      </c>
      <c r="F55" s="27">
        <f>F53+F54</f>
        <v/>
      </c>
      <c r="G55" s="27">
        <f>G53+G54</f>
        <v/>
      </c>
      <c r="H55" s="27">
        <f>SUM(B55:G55)</f>
        <v/>
      </c>
    </row>
    <row r="56">
      <c r="A56" s="5" t="inlineStr">
        <is>
          <t>Daniel (60%)</t>
        </is>
      </c>
      <c r="B56" s="25">
        <f>B55*Assumptions!$B$12</f>
        <v/>
      </c>
      <c r="C56" s="25">
        <f>C55*Assumptions!$B$12</f>
        <v/>
      </c>
      <c r="D56" s="25">
        <f>D55*Assumptions!$B$12</f>
        <v/>
      </c>
      <c r="E56" s="25">
        <f>E55*Assumptions!$B$12</f>
        <v/>
      </c>
      <c r="F56" s="25">
        <f>F55*Assumptions!$B$12</f>
        <v/>
      </c>
      <c r="G56" s="25">
        <f>G55*Assumptions!$B$12</f>
        <v/>
      </c>
      <c r="H56" s="25">
        <f>SUM(B56:G56)</f>
        <v/>
      </c>
    </row>
    <row r="57">
      <c r="A57" s="5" t="inlineStr">
        <is>
          <t>Rona (40%)</t>
        </is>
      </c>
      <c r="B57" s="25">
        <f>B55*Assumptions!$B$13</f>
        <v/>
      </c>
      <c r="C57" s="25">
        <f>C55*Assumptions!$B$13</f>
        <v/>
      </c>
      <c r="D57" s="25">
        <f>D55*Assumptions!$B$13</f>
        <v/>
      </c>
      <c r="E57" s="25">
        <f>E55*Assumptions!$B$13</f>
        <v/>
      </c>
      <c r="F57" s="25">
        <f>F55*Assumptions!$B$13</f>
        <v/>
      </c>
      <c r="G57" s="25">
        <f>G55*Assumptions!$B$13</f>
        <v/>
      </c>
      <c r="H57" s="25">
        <f>SUM(B57:G57)</f>
        <v/>
      </c>
    </row>
    <row r="58">
      <c r="A58" s="5" t="inlineStr">
        <is>
          <t>Cumulative net delivered revenue</t>
        </is>
      </c>
      <c r="B58" s="25">
        <f>B47</f>
        <v/>
      </c>
      <c r="C58" s="25">
        <f>B58+C47</f>
        <v/>
      </c>
      <c r="D58" s="25">
        <f>C58+D47</f>
        <v/>
      </c>
      <c r="E58" s="25">
        <f>D58+E47</f>
        <v/>
      </c>
      <c r="F58" s="25">
        <f>E58+F47</f>
        <v/>
      </c>
      <c r="G58" s="25">
        <f>F58+G47</f>
        <v/>
      </c>
    </row>
    <row r="59">
      <c r="A59" s="5" t="inlineStr">
        <is>
          <t>Delivered cases (paid less refunded)</t>
        </is>
      </c>
      <c r="B59" s="23">
        <f>B39+ROUND(B46/Assumptions!$B$4,0)</f>
        <v/>
      </c>
      <c r="C59" s="23">
        <f>C39+ROUND(C46/Assumptions!$B$4,0)</f>
        <v/>
      </c>
      <c r="D59" s="23">
        <f>D39+ROUND(D46/Assumptions!$B$4,0)</f>
        <v/>
      </c>
      <c r="E59" s="23">
        <f>E39+ROUND(E46/Assumptions!$B$4,0)</f>
        <v/>
      </c>
      <c r="F59" s="23">
        <f>F39+ROUND(F46/Assumptions!$B$4,0)</f>
        <v/>
      </c>
      <c r="G59" s="23">
        <f>G39+ROUND(G46/Assumptions!$B$4,0)</f>
        <v/>
      </c>
      <c r="H59" s="23">
        <f>SUM(B59:G59)</f>
        <v/>
      </c>
    </row>
    <row r="60">
      <c r="A60" s="5" t="inlineStr">
        <is>
          <t>Daniel hours per week</t>
        </is>
      </c>
      <c r="B60" s="19">
        <f>IF(B35=0,0,B39*Assumptions!$B$14/60/B35)</f>
        <v/>
      </c>
      <c r="C60" s="19">
        <f>IF(C35=0,0,C39*Assumptions!$B$14/60/C35)</f>
        <v/>
      </c>
      <c r="D60" s="19">
        <f>IF(D35=0,0,D39*Assumptions!$B$14/60/D35)</f>
        <v/>
      </c>
      <c r="E60" s="19">
        <f>IF(E35=0,0,E39*Assumptions!$B$14/60/E35)</f>
        <v/>
      </c>
      <c r="F60" s="19">
        <f>IF(F35=0,0,F39*Assumptions!$B$14/60/F35)</f>
        <v/>
      </c>
      <c r="G60" s="19">
        <f>IF(G35=0,0,G39*Assumptions!$B$14/60/G35)</f>
        <v/>
      </c>
      <c r="H60" s="19">
        <f>AVERAGE(B60:G60)</f>
        <v/>
      </c>
    </row>
    <row r="61">
      <c r="A61" s="5" t="inlineStr">
        <is>
          <t>Hits £6k milestone?</t>
        </is>
      </c>
      <c r="B61" s="5">
        <f>IF(B47&gt;=Assumptions!$B$16,"Yes","No")</f>
        <v/>
      </c>
      <c r="C61" s="5">
        <f>IF(C47&gt;=Assumptions!$B$16,"Yes","No")</f>
        <v/>
      </c>
      <c r="D61" s="5">
        <f>IF(D47&gt;=Assumptions!$B$16,"Yes","No")</f>
        <v/>
      </c>
      <c r="E61" s="5">
        <f>IF(E47&gt;=Assumptions!$B$16,"Yes","No")</f>
        <v/>
      </c>
      <c r="F61" s="5">
        <f>IF(F47&gt;=Assumptions!$B$16,"Yes","No")</f>
        <v/>
      </c>
      <c r="G61" s="5">
        <f>IF(G47&gt;=Assumptions!$B$16,"Yes","No")</f>
        <v/>
      </c>
    </row>
    <row r="64">
      <c r="A64" s="22" t="inlineStr">
        <is>
          <t>High scenario</t>
        </is>
      </c>
      <c r="B64" s="4" t="inlineStr">
        <is>
          <t>Oct-26</t>
        </is>
      </c>
      <c r="C64" s="4" t="inlineStr">
        <is>
          <t>Nov-26</t>
        </is>
      </c>
      <c r="D64" s="4" t="inlineStr">
        <is>
          <t>Dec-26</t>
        </is>
      </c>
      <c r="E64" s="4" t="inlineStr">
        <is>
          <t>Jan-27</t>
        </is>
      </c>
      <c r="F64" s="4" t="inlineStr">
        <is>
          <t>Feb-27</t>
        </is>
      </c>
      <c r="G64" s="4" t="inlineStr">
        <is>
          <t>Mar-27</t>
        </is>
      </c>
      <c r="H64" s="4" t="inlineStr">
        <is>
          <t>6-mo total</t>
        </is>
      </c>
    </row>
    <row r="65">
      <c r="A65" s="5" t="inlineStr">
        <is>
          <t>Working weeks</t>
        </is>
      </c>
      <c r="B65" s="8">
        <f>Assumptions!B$21</f>
        <v/>
      </c>
      <c r="C65" s="8">
        <f>Assumptions!C$21</f>
        <v/>
      </c>
      <c r="D65" s="8">
        <f>Assumptions!D$21</f>
        <v/>
      </c>
      <c r="E65" s="8">
        <f>Assumptions!E$21</f>
        <v/>
      </c>
      <c r="F65" s="8">
        <f>Assumptions!F$21</f>
        <v/>
      </c>
      <c r="G65" s="8">
        <f>Assumptions!G$21</f>
        <v/>
      </c>
      <c r="H65" s="19">
        <f>SUM(B65:G65)</f>
        <v/>
      </c>
    </row>
    <row r="66">
      <c r="A66" s="5" t="inlineStr">
        <is>
          <t>Slots per week</t>
        </is>
      </c>
      <c r="B66" s="7">
        <f>Assumptions!$B$27</f>
        <v/>
      </c>
      <c r="C66" s="7">
        <f>Assumptions!$B$27</f>
        <v/>
      </c>
      <c r="D66" s="7">
        <f>Assumptions!$B$27</f>
        <v/>
      </c>
      <c r="E66" s="7">
        <f>Assumptions!$B$27</f>
        <v/>
      </c>
      <c r="F66" s="7">
        <f>Assumptions!$B$27</f>
        <v/>
      </c>
      <c r="G66" s="7">
        <f>Assumptions!$B$27</f>
        <v/>
      </c>
    </row>
    <row r="67">
      <c r="A67" s="5" t="inlineStr">
        <is>
          <t>Slots available</t>
        </is>
      </c>
      <c r="B67" s="23">
        <f>B65*B66</f>
        <v/>
      </c>
      <c r="C67" s="23">
        <f>C65*C66</f>
        <v/>
      </c>
      <c r="D67" s="23">
        <f>D65*D66</f>
        <v/>
      </c>
      <c r="E67" s="23">
        <f>E65*E66</f>
        <v/>
      </c>
      <c r="F67" s="23">
        <f>F65*F66</f>
        <v/>
      </c>
      <c r="G67" s="23">
        <f>G65*G66</f>
        <v/>
      </c>
      <c r="H67" s="23">
        <f>SUM(B67:G67)</f>
        <v/>
      </c>
    </row>
    <row r="68">
      <c r="A68" s="5" t="inlineStr">
        <is>
          <t>Fill rate (paid bookings ÷ slots)</t>
        </is>
      </c>
      <c r="B68" s="24">
        <f>Assumptions!C$27</f>
        <v/>
      </c>
      <c r="C68" s="24">
        <f>Assumptions!D$27</f>
        <v/>
      </c>
      <c r="D68" s="24">
        <f>Assumptions!E$27</f>
        <v/>
      </c>
      <c r="E68" s="24">
        <f>Assumptions!F$27</f>
        <v/>
      </c>
      <c r="F68" s="24">
        <f>Assumptions!G$27</f>
        <v/>
      </c>
      <c r="G68" s="24">
        <f>Assumptions!H$27</f>
        <v/>
      </c>
      <c r="H68" s="15">
        <f>AVERAGE(B68:G68)</f>
        <v/>
      </c>
    </row>
    <row r="69">
      <c r="A69" s="5" t="inlineStr">
        <is>
          <t>Paid cases</t>
        </is>
      </c>
      <c r="B69" s="23">
        <f>ROUND(B67*B68,0)</f>
        <v/>
      </c>
      <c r="C69" s="23">
        <f>ROUND(C67*C68,0)</f>
        <v/>
      </c>
      <c r="D69" s="23">
        <f>ROUND(D67*D68,0)</f>
        <v/>
      </c>
      <c r="E69" s="23">
        <f>ROUND(E67*E68,0)</f>
        <v/>
      </c>
      <c r="F69" s="23">
        <f>ROUND(F67*F68,0)</f>
        <v/>
      </c>
      <c r="G69" s="23">
        <f>ROUND(G67*G68,0)</f>
        <v/>
      </c>
      <c r="H69" s="23">
        <f>SUM(B69:G69)</f>
        <v/>
      </c>
    </row>
    <row r="70">
      <c r="A70" s="5" t="inlineStr">
        <is>
          <t xml:space="preserve">  of which Priority</t>
        </is>
      </c>
      <c r="B70" s="23">
        <f>ROUND(B69*Assumptions!$I$27,0)</f>
        <v/>
      </c>
      <c r="C70" s="23">
        <f>ROUND(C69*Assumptions!$I$27,0)</f>
        <v/>
      </c>
      <c r="D70" s="23">
        <f>ROUND(D69*Assumptions!$I$27,0)</f>
        <v/>
      </c>
      <c r="E70" s="23">
        <f>ROUND(E69*Assumptions!$I$27,0)</f>
        <v/>
      </c>
      <c r="F70" s="23">
        <f>ROUND(F69*Assumptions!$I$27,0)</f>
        <v/>
      </c>
      <c r="G70" s="23">
        <f>ROUND(G69*Assumptions!$I$27,0)</f>
        <v/>
      </c>
      <c r="H70" s="23">
        <f>SUM(B70:G70)</f>
        <v/>
      </c>
    </row>
    <row r="71">
      <c r="A71" s="5" t="inlineStr">
        <is>
          <t xml:space="preserve">  of which Essential</t>
        </is>
      </c>
      <c r="B71" s="23">
        <f>B69-B70</f>
        <v/>
      </c>
      <c r="C71" s="23">
        <f>C69-C70</f>
        <v/>
      </c>
      <c r="D71" s="23">
        <f>D69-D70</f>
        <v/>
      </c>
      <c r="E71" s="23">
        <f>E69-E70</f>
        <v/>
      </c>
      <c r="F71" s="23">
        <f>F69-F70</f>
        <v/>
      </c>
      <c r="G71" s="23">
        <f>G69-G70</f>
        <v/>
      </c>
      <c r="H71" s="23">
        <f>SUM(B71:G71)</f>
        <v/>
      </c>
    </row>
    <row r="72">
      <c r="A72" s="5" t="inlineStr">
        <is>
          <t>Wet-signature add-on cases</t>
        </is>
      </c>
      <c r="B72" s="23">
        <f>ROUND(B69*Assumptions!$K$27,0)</f>
        <v/>
      </c>
      <c r="C72" s="23">
        <f>ROUND(C69*Assumptions!$K$27,0)</f>
        <v/>
      </c>
      <c r="D72" s="23">
        <f>ROUND(D69*Assumptions!$K$27,0)</f>
        <v/>
      </c>
      <c r="E72" s="23">
        <f>ROUND(E69*Assumptions!$K$27,0)</f>
        <v/>
      </c>
      <c r="F72" s="23">
        <f>ROUND(F69*Assumptions!$K$27,0)</f>
        <v/>
      </c>
      <c r="G72" s="23">
        <f>ROUND(G69*Assumptions!$K$27,0)</f>
        <v/>
      </c>
      <c r="H72" s="23">
        <f>SUM(B72:G72)</f>
        <v/>
      </c>
    </row>
    <row r="73">
      <c r="A73" s="5" t="inlineStr">
        <is>
          <t>Service revenue (gross)</t>
        </is>
      </c>
      <c r="B73" s="25">
        <f>B71*Assumptions!$B$4+B70*Assumptions!$B$5</f>
        <v/>
      </c>
      <c r="C73" s="25">
        <f>C71*Assumptions!$B$4+C70*Assumptions!$B$5</f>
        <v/>
      </c>
      <c r="D73" s="25">
        <f>D71*Assumptions!$B$4+D70*Assumptions!$B$5</f>
        <v/>
      </c>
      <c r="E73" s="25">
        <f>E71*Assumptions!$B$4+E70*Assumptions!$B$5</f>
        <v/>
      </c>
      <c r="F73" s="25">
        <f>F71*Assumptions!$B$4+F70*Assumptions!$B$5</f>
        <v/>
      </c>
      <c r="G73" s="25">
        <f>G71*Assumptions!$B$4+G70*Assumptions!$B$5</f>
        <v/>
      </c>
      <c r="H73" s="25">
        <f>SUM(B73:G73)</f>
        <v/>
      </c>
    </row>
    <row r="74">
      <c r="A74" s="5" t="inlineStr">
        <is>
          <t>Add-on revenue</t>
        </is>
      </c>
      <c r="B74" s="25">
        <f>B72*Assumptions!$B$6</f>
        <v/>
      </c>
      <c r="C74" s="25">
        <f>C72*Assumptions!$B$6</f>
        <v/>
      </c>
      <c r="D74" s="25">
        <f>D72*Assumptions!$B$6</f>
        <v/>
      </c>
      <c r="E74" s="25">
        <f>E72*Assumptions!$B$6</f>
        <v/>
      </c>
      <c r="F74" s="25">
        <f>F72*Assumptions!$B$6</f>
        <v/>
      </c>
      <c r="G74" s="25">
        <f>G72*Assumptions!$B$6</f>
        <v/>
      </c>
      <c r="H74" s="25">
        <f>SUM(B74:G74)</f>
        <v/>
      </c>
    </row>
    <row r="75">
      <c r="A75" s="5" t="inlineStr">
        <is>
          <t>Gross bookings</t>
        </is>
      </c>
      <c r="B75" s="25">
        <f>B73+B74</f>
        <v/>
      </c>
      <c r="C75" s="25">
        <f>C73+C74</f>
        <v/>
      </c>
      <c r="D75" s="25">
        <f>D73+D74</f>
        <v/>
      </c>
      <c r="E75" s="25">
        <f>E73+E74</f>
        <v/>
      </c>
      <c r="F75" s="25">
        <f>F73+F74</f>
        <v/>
      </c>
      <c r="G75" s="25">
        <f>G73+G74</f>
        <v/>
      </c>
      <c r="H75" s="25">
        <f>SUM(B75:G75)</f>
        <v/>
      </c>
    </row>
    <row r="76">
      <c r="A76" s="5" t="inlineStr">
        <is>
          <t>Refunds</t>
        </is>
      </c>
      <c r="B76" s="25">
        <f>-ROUND(B75*Assumptions!$J$27,0)</f>
        <v/>
      </c>
      <c r="C76" s="25">
        <f>-ROUND(C75*Assumptions!$J$27,0)</f>
        <v/>
      </c>
      <c r="D76" s="25">
        <f>-ROUND(D75*Assumptions!$J$27,0)</f>
        <v/>
      </c>
      <c r="E76" s="25">
        <f>-ROUND(E75*Assumptions!$J$27,0)</f>
        <v/>
      </c>
      <c r="F76" s="25">
        <f>-ROUND(F75*Assumptions!$J$27,0)</f>
        <v/>
      </c>
      <c r="G76" s="25">
        <f>-ROUND(G75*Assumptions!$J$27,0)</f>
        <v/>
      </c>
      <c r="H76" s="25">
        <f>SUM(B76:G76)</f>
        <v/>
      </c>
    </row>
    <row r="77">
      <c r="A77" s="26" t="inlineStr">
        <is>
          <t>Net delivered revenue</t>
        </is>
      </c>
      <c r="B77" s="27">
        <f>B75+B76</f>
        <v/>
      </c>
      <c r="C77" s="27">
        <f>C75+C76</f>
        <v/>
      </c>
      <c r="D77" s="27">
        <f>D75+D76</f>
        <v/>
      </c>
      <c r="E77" s="27">
        <f>E75+E76</f>
        <v/>
      </c>
      <c r="F77" s="27">
        <f>F75+F76</f>
        <v/>
      </c>
      <c r="G77" s="27">
        <f>G75+G76</f>
        <v/>
      </c>
      <c r="H77" s="27">
        <f>SUM(B77:G77)</f>
        <v/>
      </c>
    </row>
    <row r="78">
      <c r="A78" s="5" t="inlineStr">
        <is>
          <t>Stripe fees</t>
        </is>
      </c>
      <c r="B78" s="25">
        <f>-(B75*Assumptions!$B$7+B69*Assumptions!$B$8)</f>
        <v/>
      </c>
      <c r="C78" s="25">
        <f>-(C75*Assumptions!$B$7+C69*Assumptions!$B$8)</f>
        <v/>
      </c>
      <c r="D78" s="25">
        <f>-(D75*Assumptions!$B$7+D69*Assumptions!$B$8)</f>
        <v/>
      </c>
      <c r="E78" s="25">
        <f>-(E75*Assumptions!$B$7+E69*Assumptions!$B$8)</f>
        <v/>
      </c>
      <c r="F78" s="25">
        <f>-(F75*Assumptions!$B$7+F69*Assumptions!$B$8)</f>
        <v/>
      </c>
      <c r="G78" s="25">
        <f>-(G75*Assumptions!$B$7+G69*Assumptions!$B$8)</f>
        <v/>
      </c>
      <c r="H78" s="25">
        <f>SUM(B78:G78)</f>
        <v/>
      </c>
    </row>
    <row r="79">
      <c r="A79" s="5" t="inlineStr">
        <is>
          <t>E-signature</t>
        </is>
      </c>
      <c r="B79" s="25">
        <f>-B69*Assumptions!$B$9</f>
        <v/>
      </c>
      <c r="C79" s="25">
        <f>-C69*Assumptions!$B$9</f>
        <v/>
      </c>
      <c r="D79" s="25">
        <f>-D69*Assumptions!$B$9</f>
        <v/>
      </c>
      <c r="E79" s="25">
        <f>-E69*Assumptions!$B$9</f>
        <v/>
      </c>
      <c r="F79" s="25">
        <f>-F69*Assumptions!$B$9</f>
        <v/>
      </c>
      <c r="G79" s="25">
        <f>-G69*Assumptions!$B$9</f>
        <v/>
      </c>
      <c r="H79" s="25">
        <f>SUM(B79:G79)</f>
        <v/>
      </c>
    </row>
    <row r="80">
      <c r="A80" s="5" t="inlineStr">
        <is>
          <t>AI prep</t>
        </is>
      </c>
      <c r="B80" s="25">
        <f>-B69*Assumptions!$B$10</f>
        <v/>
      </c>
      <c r="C80" s="25">
        <f>-C69*Assumptions!$B$10</f>
        <v/>
      </c>
      <c r="D80" s="25">
        <f>-D69*Assumptions!$B$10</f>
        <v/>
      </c>
      <c r="E80" s="25">
        <f>-E69*Assumptions!$B$10</f>
        <v/>
      </c>
      <c r="F80" s="25">
        <f>-F69*Assumptions!$B$10</f>
        <v/>
      </c>
      <c r="G80" s="25">
        <f>-G69*Assumptions!$B$10</f>
        <v/>
      </c>
      <c r="H80" s="25">
        <f>SUM(B80:G80)</f>
        <v/>
      </c>
    </row>
    <row r="81">
      <c r="A81" s="5" t="inlineStr">
        <is>
          <t>Postage (wet-sign cases)</t>
        </is>
      </c>
      <c r="B81" s="25">
        <f>-B72*Assumptions!$B$11</f>
        <v/>
      </c>
      <c r="C81" s="25">
        <f>-C72*Assumptions!$B$11</f>
        <v/>
      </c>
      <c r="D81" s="25">
        <f>-D72*Assumptions!$B$11</f>
        <v/>
      </c>
      <c r="E81" s="25">
        <f>-E72*Assumptions!$B$11</f>
        <v/>
      </c>
      <c r="F81" s="25">
        <f>-F72*Assumptions!$B$11</f>
        <v/>
      </c>
      <c r="G81" s="25">
        <f>-G72*Assumptions!$B$11</f>
        <v/>
      </c>
      <c r="H81" s="25">
        <f>SUM(B81:G81)</f>
        <v/>
      </c>
    </row>
    <row r="82">
      <c r="A82" s="5" t="inlineStr">
        <is>
          <t>Total direct platform costs</t>
        </is>
      </c>
      <c r="B82" s="25">
        <f>SUM(B78:B81)</f>
        <v/>
      </c>
      <c r="C82" s="25">
        <f>SUM(C78:C81)</f>
        <v/>
      </c>
      <c r="D82" s="25">
        <f>SUM(D78:D81)</f>
        <v/>
      </c>
      <c r="E82" s="25">
        <f>SUM(E78:E81)</f>
        <v/>
      </c>
      <c r="F82" s="25">
        <f>SUM(F78:F81)</f>
        <v/>
      </c>
      <c r="G82" s="25">
        <f>SUM(G78:G81)</f>
        <v/>
      </c>
      <c r="H82" s="25">
        <f>SUM(B82:G82)</f>
        <v/>
      </c>
    </row>
    <row r="83">
      <c r="A83" s="5" t="inlineStr">
        <is>
          <t>Net after direct costs</t>
        </is>
      </c>
      <c r="B83" s="25">
        <f>B77+B82</f>
        <v/>
      </c>
      <c r="C83" s="25">
        <f>C77+C82</f>
        <v/>
      </c>
      <c r="D83" s="25">
        <f>D77+D82</f>
        <v/>
      </c>
      <c r="E83" s="25">
        <f>E77+E82</f>
        <v/>
      </c>
      <c r="F83" s="25">
        <f>F77+F82</f>
        <v/>
      </c>
      <c r="G83" s="25">
        <f>G77+G82</f>
        <v/>
      </c>
      <c r="H83" s="25">
        <f>SUM(B83:G83)</f>
        <v/>
      </c>
    </row>
    <row r="84">
      <c r="A84" s="5" t="inlineStr">
        <is>
          <t>Marketing (off the top)</t>
        </is>
      </c>
      <c r="B84" s="6">
        <f>-Assumptions!$L$27</f>
        <v/>
      </c>
      <c r="C84" s="6">
        <f>-Assumptions!$L$27</f>
        <v/>
      </c>
      <c r="D84" s="6">
        <f>-Assumptions!$L$27</f>
        <v/>
      </c>
      <c r="E84" s="6">
        <f>-Assumptions!$L$27</f>
        <v/>
      </c>
      <c r="F84" s="6">
        <f>-Assumptions!$L$27</f>
        <v/>
      </c>
      <c r="G84" s="6">
        <f>-Assumptions!$L$27</f>
        <v/>
      </c>
      <c r="H84" s="25">
        <f>SUM(B84:G84)</f>
        <v/>
      </c>
    </row>
    <row r="85">
      <c r="A85" s="26" t="inlineStr">
        <is>
          <t>Distributable net</t>
        </is>
      </c>
      <c r="B85" s="27">
        <f>B83+B84</f>
        <v/>
      </c>
      <c r="C85" s="27">
        <f>C83+C84</f>
        <v/>
      </c>
      <c r="D85" s="27">
        <f>D83+D84</f>
        <v/>
      </c>
      <c r="E85" s="27">
        <f>E83+E84</f>
        <v/>
      </c>
      <c r="F85" s="27">
        <f>F83+F84</f>
        <v/>
      </c>
      <c r="G85" s="27">
        <f>G83+G84</f>
        <v/>
      </c>
      <c r="H85" s="27">
        <f>SUM(B85:G85)</f>
        <v/>
      </c>
    </row>
    <row r="86">
      <c r="A86" s="5" t="inlineStr">
        <is>
          <t>Daniel (60%)</t>
        </is>
      </c>
      <c r="B86" s="25">
        <f>B85*Assumptions!$B$12</f>
        <v/>
      </c>
      <c r="C86" s="25">
        <f>C85*Assumptions!$B$12</f>
        <v/>
      </c>
      <c r="D86" s="25">
        <f>D85*Assumptions!$B$12</f>
        <v/>
      </c>
      <c r="E86" s="25">
        <f>E85*Assumptions!$B$12</f>
        <v/>
      </c>
      <c r="F86" s="25">
        <f>F85*Assumptions!$B$12</f>
        <v/>
      </c>
      <c r="G86" s="25">
        <f>G85*Assumptions!$B$12</f>
        <v/>
      </c>
      <c r="H86" s="25">
        <f>SUM(B86:G86)</f>
        <v/>
      </c>
    </row>
    <row r="87">
      <c r="A87" s="5" t="inlineStr">
        <is>
          <t>Rona (40%)</t>
        </is>
      </c>
      <c r="B87" s="25">
        <f>B85*Assumptions!$B$13</f>
        <v/>
      </c>
      <c r="C87" s="25">
        <f>C85*Assumptions!$B$13</f>
        <v/>
      </c>
      <c r="D87" s="25">
        <f>D85*Assumptions!$B$13</f>
        <v/>
      </c>
      <c r="E87" s="25">
        <f>E85*Assumptions!$B$13</f>
        <v/>
      </c>
      <c r="F87" s="25">
        <f>F85*Assumptions!$B$13</f>
        <v/>
      </c>
      <c r="G87" s="25">
        <f>G85*Assumptions!$B$13</f>
        <v/>
      </c>
      <c r="H87" s="25">
        <f>SUM(B87:G87)</f>
        <v/>
      </c>
    </row>
    <row r="88">
      <c r="A88" s="5" t="inlineStr">
        <is>
          <t>Cumulative net delivered revenue</t>
        </is>
      </c>
      <c r="B88" s="25">
        <f>B77</f>
        <v/>
      </c>
      <c r="C88" s="25">
        <f>B88+C77</f>
        <v/>
      </c>
      <c r="D88" s="25">
        <f>C88+D77</f>
        <v/>
      </c>
      <c r="E88" s="25">
        <f>D88+E77</f>
        <v/>
      </c>
      <c r="F88" s="25">
        <f>E88+F77</f>
        <v/>
      </c>
      <c r="G88" s="25">
        <f>F88+G77</f>
        <v/>
      </c>
    </row>
    <row r="89">
      <c r="A89" s="5" t="inlineStr">
        <is>
          <t>Delivered cases (paid less refunded)</t>
        </is>
      </c>
      <c r="B89" s="23">
        <f>B69+ROUND(B76/Assumptions!$B$4,0)</f>
        <v/>
      </c>
      <c r="C89" s="23">
        <f>C69+ROUND(C76/Assumptions!$B$4,0)</f>
        <v/>
      </c>
      <c r="D89" s="23">
        <f>D69+ROUND(D76/Assumptions!$B$4,0)</f>
        <v/>
      </c>
      <c r="E89" s="23">
        <f>E69+ROUND(E76/Assumptions!$B$4,0)</f>
        <v/>
      </c>
      <c r="F89" s="23">
        <f>F69+ROUND(F76/Assumptions!$B$4,0)</f>
        <v/>
      </c>
      <c r="G89" s="23">
        <f>G69+ROUND(G76/Assumptions!$B$4,0)</f>
        <v/>
      </c>
      <c r="H89" s="23">
        <f>SUM(B89:G89)</f>
        <v/>
      </c>
    </row>
    <row r="90">
      <c r="A90" s="5" t="inlineStr">
        <is>
          <t>Daniel hours per week</t>
        </is>
      </c>
      <c r="B90" s="19">
        <f>IF(B65=0,0,B69*Assumptions!$B$14/60/B65)</f>
        <v/>
      </c>
      <c r="C90" s="19">
        <f>IF(C65=0,0,C69*Assumptions!$B$14/60/C65)</f>
        <v/>
      </c>
      <c r="D90" s="19">
        <f>IF(D65=0,0,D69*Assumptions!$B$14/60/D65)</f>
        <v/>
      </c>
      <c r="E90" s="19">
        <f>IF(E65=0,0,E69*Assumptions!$B$14/60/E65)</f>
        <v/>
      </c>
      <c r="F90" s="19">
        <f>IF(F65=0,0,F69*Assumptions!$B$14/60/F65)</f>
        <v/>
      </c>
      <c r="G90" s="19">
        <f>IF(G65=0,0,G69*Assumptions!$B$14/60/G65)</f>
        <v/>
      </c>
      <c r="H90" s="19">
        <f>AVERAGE(B90:G90)</f>
        <v/>
      </c>
    </row>
    <row r="91">
      <c r="A91" s="5" t="inlineStr">
        <is>
          <t>Hits £6k milestone?</t>
        </is>
      </c>
      <c r="B91" s="5">
        <f>IF(B77&gt;=Assumptions!$B$16,"Yes","No")</f>
        <v/>
      </c>
      <c r="C91" s="5">
        <f>IF(C77&gt;=Assumptions!$B$16,"Yes","No")</f>
        <v/>
      </c>
      <c r="D91" s="5">
        <f>IF(D77&gt;=Assumptions!$B$16,"Yes","No")</f>
        <v/>
      </c>
      <c r="E91" s="5">
        <f>IF(E77&gt;=Assumptions!$B$16,"Yes","No")</f>
        <v/>
      </c>
      <c r="F91" s="5">
        <f>IF(F77&gt;=Assumptions!$B$16,"Yes","No")</f>
        <v/>
      </c>
      <c r="G91" s="5">
        <f>IF(G77&gt;=Assumptions!$B$16,"Yes","No")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0" customWidth="1" min="4" max="4"/>
    <col width="12" customWidth="1" min="5" max="5"/>
    <col width="10" customWidth="1" min="6" max="6"/>
    <col width="12" customWidth="1" min="7" max="7"/>
    <col width="14" customWidth="1" min="8" max="8"/>
    <col width="60" customWidth="1" min="9" max="9"/>
  </cols>
  <sheetData>
    <row r="1">
      <c r="A1" s="1" t="inlineStr">
        <is>
          <t>Actuals — weekly, from ILA Hub production database (cases table), pulled 26 Sep 2026</t>
        </is>
      </c>
    </row>
    <row r="2">
      <c r="A2" s="2" t="inlineStr">
        <is>
          <t>Excludes internal/test cases. Week = Monday start. 'Paid £' = sum of service price on paid cases (before refunds). Delivered = final_delivered_at set.</t>
        </is>
      </c>
    </row>
    <row r="4">
      <c r="A4" s="4" t="inlineStr">
        <is>
          <t>Week of</t>
        </is>
      </c>
      <c r="B4" s="4" t="inlineStr">
        <is>
          <t>Paid</t>
        </is>
      </c>
      <c r="C4" s="4" t="inlineStr">
        <is>
          <t>Delivered</t>
        </is>
      </c>
      <c r="D4" s="4" t="inlineStr">
        <is>
          <t>Refunded</t>
        </is>
      </c>
      <c r="E4" s="4" t="inlineStr">
        <is>
          <t>Priority paid</t>
        </is>
      </c>
      <c r="F4" s="4" t="inlineStr">
        <is>
          <t>Unpaid holds</t>
        </is>
      </c>
      <c r="G4" s="4" t="inlineStr">
        <is>
          <t>Paid £</t>
        </is>
      </c>
      <c r="H4" s="4" t="inlineStr">
        <is>
          <t>Fill vs 20 slots</t>
        </is>
      </c>
    </row>
    <row r="5">
      <c r="A5" s="28" t="inlineStr">
        <is>
          <t>2026-07-06</t>
        </is>
      </c>
      <c r="B5" s="16" t="n">
        <v>2</v>
      </c>
      <c r="C5" s="16" t="n">
        <v>3</v>
      </c>
      <c r="D5" s="16" t="n">
        <v>0</v>
      </c>
      <c r="E5" s="16" t="n">
        <v>0</v>
      </c>
      <c r="F5" s="16" t="n">
        <v>1</v>
      </c>
      <c r="G5" s="11" t="n">
        <v>240</v>
      </c>
      <c r="H5" s="15">
        <f>B5/20</f>
        <v/>
      </c>
    </row>
    <row r="6">
      <c r="A6" s="28" t="inlineStr">
        <is>
          <t>2026-07-27</t>
        </is>
      </c>
      <c r="B6" s="16" t="n">
        <v>6</v>
      </c>
      <c r="C6" s="16" t="n">
        <v>2</v>
      </c>
      <c r="D6" s="16" t="n">
        <v>5</v>
      </c>
      <c r="E6" s="16" t="n">
        <v>0</v>
      </c>
      <c r="F6" s="16" t="n">
        <v>5</v>
      </c>
      <c r="G6" s="11" t="n">
        <v>720</v>
      </c>
      <c r="H6" s="15">
        <f>B6/20</f>
        <v/>
      </c>
    </row>
    <row r="7">
      <c r="A7" s="28" t="inlineStr">
        <is>
          <t>2026-08-03</t>
        </is>
      </c>
      <c r="B7" s="16" t="n">
        <v>3</v>
      </c>
      <c r="C7" s="16" t="n">
        <v>3</v>
      </c>
      <c r="D7" s="16" t="n">
        <v>0</v>
      </c>
      <c r="E7" s="16" t="n">
        <v>0</v>
      </c>
      <c r="F7" s="16" t="n">
        <v>3</v>
      </c>
      <c r="G7" s="11" t="n">
        <v>360</v>
      </c>
      <c r="H7" s="15">
        <f>B7/20</f>
        <v/>
      </c>
    </row>
    <row r="8">
      <c r="A8" s="28" t="inlineStr">
        <is>
          <t>2026-08-10</t>
        </is>
      </c>
      <c r="B8" s="16" t="n">
        <v>0</v>
      </c>
      <c r="C8" s="16" t="n">
        <v>0</v>
      </c>
      <c r="D8" s="16" t="n">
        <v>0</v>
      </c>
      <c r="E8" s="16" t="n">
        <v>0</v>
      </c>
      <c r="F8" s="16" t="n">
        <v>2</v>
      </c>
      <c r="G8" s="11" t="n">
        <v>0</v>
      </c>
      <c r="H8" s="15">
        <f>B8/20</f>
        <v/>
      </c>
    </row>
    <row r="9">
      <c r="A9" s="28" t="inlineStr">
        <is>
          <t>2026-08-17</t>
        </is>
      </c>
      <c r="B9" s="16" t="n">
        <v>15</v>
      </c>
      <c r="C9" s="16" t="n">
        <v>7</v>
      </c>
      <c r="D9" s="16" t="n">
        <v>6</v>
      </c>
      <c r="E9" s="16" t="n">
        <v>0</v>
      </c>
      <c r="F9" s="16" t="n">
        <v>2</v>
      </c>
      <c r="G9" s="11" t="n">
        <v>1800</v>
      </c>
      <c r="H9" s="15">
        <f>B9/20</f>
        <v/>
      </c>
    </row>
    <row r="10">
      <c r="A10" s="28" t="inlineStr">
        <is>
          <t>2026-08-24</t>
        </is>
      </c>
      <c r="B10" s="16" t="n">
        <v>7</v>
      </c>
      <c r="C10" s="16" t="n">
        <v>4</v>
      </c>
      <c r="D10" s="16" t="n">
        <v>0</v>
      </c>
      <c r="E10" s="16" t="n">
        <v>0</v>
      </c>
      <c r="F10" s="16" t="n">
        <v>8</v>
      </c>
      <c r="G10" s="11" t="n">
        <v>840</v>
      </c>
      <c r="H10" s="15">
        <f>B10/20</f>
        <v/>
      </c>
    </row>
    <row r="11">
      <c r="A11" s="28" t="inlineStr">
        <is>
          <t>2026-08-31</t>
        </is>
      </c>
      <c r="B11" s="16" t="n">
        <v>13</v>
      </c>
      <c r="C11" s="16" t="n">
        <v>5</v>
      </c>
      <c r="D11" s="16" t="n">
        <v>1</v>
      </c>
      <c r="E11" s="16" t="n">
        <v>0</v>
      </c>
      <c r="F11" s="16" t="n">
        <v>6</v>
      </c>
      <c r="G11" s="11" t="n">
        <v>1890</v>
      </c>
      <c r="H11" s="15">
        <f>B11/20</f>
        <v/>
      </c>
    </row>
    <row r="12">
      <c r="A12" s="28" t="inlineStr">
        <is>
          <t>2026-09-07</t>
        </is>
      </c>
      <c r="B12" s="16" t="n">
        <v>6</v>
      </c>
      <c r="C12" s="16" t="n">
        <v>3</v>
      </c>
      <c r="D12" s="16" t="n">
        <v>0</v>
      </c>
      <c r="E12" s="16" t="n">
        <v>0</v>
      </c>
      <c r="F12" s="16" t="n">
        <v>6</v>
      </c>
      <c r="G12" s="11" t="n">
        <v>900</v>
      </c>
      <c r="H12" s="15">
        <f>B12/20</f>
        <v/>
      </c>
    </row>
    <row r="13">
      <c r="A13" s="28" t="inlineStr">
        <is>
          <t>2026-09-14</t>
        </is>
      </c>
      <c r="B13" s="16" t="n">
        <v>6</v>
      </c>
      <c r="C13" s="16" t="n">
        <v>6</v>
      </c>
      <c r="D13" s="16" t="n">
        <v>0</v>
      </c>
      <c r="E13" s="16" t="n">
        <v>0</v>
      </c>
      <c r="F13" s="16" t="n">
        <v>0</v>
      </c>
      <c r="G13" s="11" t="n">
        <v>900</v>
      </c>
      <c r="H13" s="15">
        <f>B13/20</f>
        <v/>
      </c>
    </row>
    <row r="14">
      <c r="A14" s="28" t="inlineStr">
        <is>
          <t>2026-09-21</t>
        </is>
      </c>
      <c r="B14" s="16" t="n">
        <v>6</v>
      </c>
      <c r="C14" s="16" t="n">
        <v>4</v>
      </c>
      <c r="D14" s="16" t="n">
        <v>0</v>
      </c>
      <c r="E14" s="16" t="n">
        <v>1</v>
      </c>
      <c r="F14" s="16" t="n">
        <v>6</v>
      </c>
      <c r="G14" s="11" t="n">
        <v>940</v>
      </c>
      <c r="H14" s="15">
        <f>B14/20</f>
        <v/>
      </c>
    </row>
    <row r="16">
      <c r="A16" s="17" t="inlineStr">
        <is>
          <t>Since 17 Aug (6 weeks)</t>
        </is>
      </c>
      <c r="B16" s="19">
        <f>AVERAGE(B9:B14)</f>
        <v/>
      </c>
      <c r="C16" s="19">
        <f>AVERAGE(C9:C14)</f>
        <v/>
      </c>
      <c r="D16" s="15">
        <f>SUM(D9:D14)/SUM(B9:B14)</f>
        <v/>
      </c>
      <c r="G16" s="25">
        <f>AVERAGE(G9:G14)</f>
        <v/>
      </c>
      <c r="H16" s="15">
        <f>AVERAGE(H9:H14)</f>
        <v/>
      </c>
      <c r="I16" s="12" t="inlineStr">
        <is>
          <t>avg paid/wk · avg delivered/wk · refund rate by count · avg paid £/wk · avg fill</t>
        </is>
      </c>
    </row>
    <row r="17">
      <c r="A17" s="17" t="inlineStr">
        <is>
          <t>Last 3 weeks</t>
        </is>
      </c>
      <c r="B17" s="19">
        <f>AVERAGE(B12:B14)</f>
        <v/>
      </c>
      <c r="C17" s="19">
        <f>AVERAGE(C12:C14)</f>
        <v/>
      </c>
      <c r="G17" s="25">
        <f>AVERAGE(G12:G14)</f>
        <v/>
      </c>
      <c r="H17" s="15">
        <f>AVERAGE(H12:H14)</f>
        <v/>
      </c>
    </row>
    <row r="19">
      <c r="A19" s="12" t="inlineStr">
        <is>
          <t>Tier mix since 1 Aug (paid cases): 20 legacy £120 · 24 Essential £150 · 1 Priority £190. Refunded: 7. Unpaid/expired holds: 27 — the diary looks fuller than revenue.</t>
        </is>
      </c>
    </row>
    <row r="20">
      <c r="A20" s="12" t="inlineStr">
        <is>
          <t>Booking pattern: 70% of paid slots fall Mon–Fri 11:00–16:00 UK, peak Tue/Wed/Thu 12:00. Weekend mornings carry ~15%.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30" customWidth="1" min="1" max="1"/>
    <col width="100" customWidth="1" min="2" max="2"/>
  </cols>
  <sheetData>
    <row r="1">
      <c r="A1" s="1" t="inlineStr">
        <is>
          <t>Sources and known gaps</t>
        </is>
      </c>
    </row>
    <row r="3">
      <c r="A3" s="17" t="inlineStr">
        <is>
          <t>Production DB</t>
        </is>
      </c>
      <c r="B3" s="29" t="inlineStr">
        <is>
          <t>Lovable project d454fddf (ila-hub.com) — cases table, queried 26 Sep 2026. Weekly paid/delivered/refunded, tier mix, slot hours.</t>
        </is>
      </c>
    </row>
    <row r="4">
      <c r="A4" s="17" t="inlineStr">
        <is>
          <t>Pricing</t>
        </is>
      </c>
      <c r="B4" s="29" t="inlineStr">
        <is>
          <t>Daniel McAfee email 'New priority price ID', 23 Sep 2026 (£190 Priority). Granola catch-ups 8–24 Sep 2026 (£150 Essential, £25 wet-sign add-on).</t>
        </is>
      </c>
    </row>
    <row r="5">
      <c r="A5" s="17" t="inlineStr">
        <is>
          <t>Commercial terms</t>
        </is>
      </c>
      <c r="B5" s="29" t="inlineStr">
        <is>
          <t>ILA Hub Master PRD v1.1, 11 May 2026 — §2 Commercial structure (60/40 split after direct costs, marketing off top, VAT threshold, refund policy).</t>
        </is>
      </c>
    </row>
    <row r="6">
      <c r="A6" s="17" t="inlineStr">
        <is>
          <t>Targets</t>
        </is>
      </c>
      <c r="B6" s="29" t="inlineStr">
        <is>
          <t>Notion 'Business dashboard' (12 Sep 2026): £6k then £10k monthly net delivered revenue; paid→delivered 36.2% lifetime; refund 20.7% by value.</t>
        </is>
      </c>
    </row>
    <row r="7">
      <c r="A7" s="17" t="inlineStr">
        <is>
          <t>Operating context</t>
        </is>
      </c>
      <c r="B7" s="29" t="inlineStr">
        <is>
          <t>Granola catch-ups Sep 2026: calls 10–15 min, ~90% of clients arrive without full documents, unpaid holds inflating diary, 2–3 extra lawyers targeted by Nov (excluded here by your brief).</t>
        </is>
      </c>
    </row>
    <row r="8">
      <c r="A8" s="17" t="inlineStr">
        <is>
          <t>Gap — capacity</t>
        </is>
      </c>
      <c r="B8" s="29" t="inlineStr">
        <is>
          <t>Daniel's committed weekly slots were never recorded (dashboard item D12). This model uses your 18–22 range as the input.</t>
        </is>
      </c>
    </row>
    <row r="9">
      <c r="A9" s="17" t="inlineStr">
        <is>
          <t>Gap — delivery lag</t>
        </is>
      </c>
      <c r="B9" s="29" t="inlineStr">
        <is>
          <t>Paid → delivered is counted in the month paid. Real delivery slips days to weeks (backlog ~15 matters at 6 Sep). Cash timing is therefore slightly optimistic in each month and neutral over 6 months.</t>
        </is>
      </c>
    </row>
    <row r="10">
      <c r="A10" s="17" t="inlineStr">
        <is>
          <t>Gap — second guarantors</t>
        </is>
      </c>
      <c r="B10" s="29" t="inlineStr">
        <is>
          <t>Multi-guarantor matters generate extra bookings (each guarantor books a slot). Treated as ordinary slots; no separate uplift modelled.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2026-09-26T19:13:23Z</dcterms:created>
  <dcterms:modified xsi:type="dcterms:W3CDTF">2026-09-26T19:13:23Z</dcterms:modified>
</cp:coreProperties>
</file>